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imelineCaches/timelineCache6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timelines/timeline2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timelines/timeline3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timelines/timeline4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timelines/timeline5.xml" ContentType="application/vnd.ms-excel.timelin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timelines/timeline6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va\Desktop\"/>
    </mc:Choice>
  </mc:AlternateContent>
  <xr:revisionPtr revIDLastSave="0" documentId="13_ncr:1_{DC500935-B8BD-4718-8A0F-5873C4635C8C}" xr6:coauthVersionLast="47" xr6:coauthVersionMax="47" xr10:uidLastSave="{00000000-0000-0000-0000-000000000000}"/>
  <bookViews>
    <workbookView xWindow="-98" yWindow="-98" windowWidth="21795" windowHeight="12975" firstSheet="8" activeTab="10" xr2:uid="{46DB1DB0-100D-4B98-9D6F-DA66D851C26C}"/>
  </bookViews>
  <sheets>
    <sheet name="麥當勞" sheetId="6" r:id="rId1"/>
    <sheet name="小公寓" sheetId="7" r:id="rId2"/>
    <sheet name="福勝亭" sheetId="8" r:id="rId3"/>
    <sheet name="麥味登" sheetId="9" r:id="rId4"/>
    <sheet name="路易莎" sheetId="10" r:id="rId5"/>
    <sheet name="星巴克" sheetId="11" r:id="rId6"/>
    <sheet name="摩斯漢堡" sheetId="12" r:id="rId7"/>
    <sheet name="Qburger" sheetId="13" r:id="rId8"/>
    <sheet name="商家列表" sheetId="3" r:id="rId9"/>
    <sheet name="幸福感計算器(單日)" sheetId="5" r:id="rId10"/>
    <sheet name="幸福感計算器 (月) " sheetId="18" r:id="rId11"/>
    <sheet name="各項分析" sheetId="25" r:id="rId12"/>
    <sheet name="各店家平均獲得的美味度與飽足感" sheetId="24" r:id="rId13"/>
    <sheet name="各店家帶來的幸福感" sheetId="23" r:id="rId14"/>
    <sheet name="在各店家花的錢" sheetId="22" r:id="rId15"/>
    <sheet name="光顧店家次數" sheetId="20" r:id="rId16"/>
    <sheet name="在各店家獲得的熱量" sheetId="21" r:id="rId17"/>
  </sheets>
  <definedNames>
    <definedName name="NativeTimeline_日期">#N/A</definedName>
    <definedName name="NativeTimeline_日期1">#N/A</definedName>
    <definedName name="NativeTimeline_日期2">#N/A</definedName>
    <definedName name="NativeTimeline_日期3">#N/A</definedName>
    <definedName name="NativeTimeline_日期4">#N/A</definedName>
    <definedName name="NativeTimeline_日期5">#N/A</definedName>
    <definedName name="Q_burger">商家列表!$B$8:$C$8</definedName>
    <definedName name="Qburger">商家列表!$B$8:$C$8</definedName>
    <definedName name="Qburger午餐">Qburger!$A$26:$A$47</definedName>
    <definedName name="Qburger早餐">Qburger!$A$3:$A$24</definedName>
    <definedName name="小公寓">商家列表!$B$2:$D$2</definedName>
    <definedName name="小公寓午餐">小公寓!$A$3:$A$35</definedName>
    <definedName name="小公寓晚餐">小公寓!$A$37:$A$69</definedName>
    <definedName name="小公寓點心">小公寓!$A$71:$A$145</definedName>
    <definedName name="自訂">商家列表!$B$9:$F$9</definedName>
    <definedName name="其他">商家列表!$B$9:$E$9</definedName>
    <definedName name="其它">商家列表!$B$9:$E$9</definedName>
    <definedName name="星巴克">商家列表!$B$4</definedName>
    <definedName name="星巴克點心">星巴克!$A$3:$A$82</definedName>
    <definedName name="商家列表">商家列表!$A$1:$A$9</definedName>
    <definedName name="麥味登">商家列表!$B$6:$C$6</definedName>
    <definedName name="麥味登午餐">麥味登!$A$143:$A$188</definedName>
    <definedName name="麥味登早餐">麥味登!$A$3:$A$141</definedName>
    <definedName name="麥當勞">商家列表!$B$1:$E$1</definedName>
    <definedName name="麥當勞午餐">麥當勞!$A$21:$A$46</definedName>
    <definedName name="麥當勞早餐">麥當勞!$A$3:$A$19</definedName>
    <definedName name="麥當勞晚餐">麥當勞!$A$48:$A$73</definedName>
    <definedName name="麥當勞點心">麥當勞!$A$75:$A$113</definedName>
    <definedName name="路易莎">商家列表!$B$5:$C$5</definedName>
    <definedName name="路易莎早餐">路易莎!$A$3:$A$76</definedName>
    <definedName name="路易莎點心">路易莎!$A$78:$A$153</definedName>
    <definedName name="福勝亭">商家列表!$B$3:$C$3</definedName>
    <definedName name="福勝亭午餐">福勝亭!$A$3:$A$28</definedName>
    <definedName name="福勝亭晚餐">福勝亭!$A$30:$A$55</definedName>
    <definedName name="摩斯漢堡">商家列表!$B$7:$E$7</definedName>
    <definedName name="摩斯漢堡午餐">摩斯漢堡!$A$17:$A$37</definedName>
    <definedName name="摩斯漢堡早餐">摩斯漢堡!$A$3:$A$15</definedName>
    <definedName name="摩斯漢堡晚餐">摩斯漢堡!$A$39:$A$59</definedName>
    <definedName name="摩斯漢堡點心">摩斯漢堡!$A$61:$A$113</definedName>
  </definedNames>
  <calcPr calcId="191029"/>
  <pivotCaches>
    <pivotCache cacheId="0" r:id="rId1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9"/>
        <x15:timelineCacheRef r:id="rId20"/>
        <x15:timelineCacheRef r:id="rId21"/>
        <x15:timelineCacheRef r:id="rId22"/>
        <x15:timelineCacheRef r:id="rId23"/>
        <x15:timelineCacheRef r:id="rId2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5" l="1"/>
  <c r="K59" i="18"/>
  <c r="F59" i="18"/>
  <c r="J11" i="5"/>
  <c r="I3" i="18"/>
  <c r="G24" i="18"/>
  <c r="G14" i="18"/>
  <c r="G3" i="18"/>
  <c r="H4" i="5"/>
  <c r="G21" i="18"/>
  <c r="I55" i="18"/>
  <c r="I56" i="18"/>
  <c r="H3" i="5"/>
  <c r="G46" i="18"/>
  <c r="G19" i="18"/>
  <c r="G12" i="18"/>
  <c r="I33" i="18"/>
  <c r="I21" i="18"/>
  <c r="G51" i="18"/>
  <c r="I31" i="18"/>
  <c r="G34" i="18"/>
  <c r="G10" i="18"/>
  <c r="I35" i="18"/>
  <c r="H10" i="5"/>
  <c r="G57" i="18"/>
  <c r="I15" i="18"/>
  <c r="G27" i="18"/>
  <c r="G33" i="18"/>
  <c r="I7" i="18"/>
  <c r="F9" i="5"/>
  <c r="I22" i="18"/>
  <c r="G44" i="18"/>
  <c r="I38" i="18"/>
  <c r="I53" i="18"/>
  <c r="I49" i="18"/>
  <c r="I48" i="18"/>
  <c r="I36" i="18"/>
  <c r="G31" i="18"/>
  <c r="G41" i="18"/>
  <c r="G52" i="18"/>
  <c r="I45" i="18"/>
  <c r="H6" i="5"/>
  <c r="G22" i="18"/>
  <c r="G18" i="18"/>
  <c r="H7" i="5"/>
  <c r="G11" i="18"/>
  <c r="G32" i="18"/>
  <c r="I32" i="18"/>
  <c r="I28" i="18"/>
  <c r="H5" i="5"/>
  <c r="G20" i="18"/>
  <c r="I23" i="18"/>
  <c r="I57" i="18"/>
  <c r="I39" i="18"/>
  <c r="I12" i="18"/>
  <c r="I44" i="18"/>
  <c r="I54" i="18"/>
  <c r="G8" i="18"/>
  <c r="G16" i="18"/>
  <c r="I2" i="18"/>
  <c r="I37" i="18"/>
  <c r="G39" i="18"/>
  <c r="I50" i="18"/>
  <c r="I40" i="18"/>
  <c r="G36" i="18"/>
  <c r="I47" i="18"/>
  <c r="G2" i="18"/>
  <c r="I4" i="18"/>
  <c r="I17" i="18"/>
  <c r="G47" i="18"/>
  <c r="G54" i="18"/>
  <c r="I26" i="18"/>
  <c r="I30" i="18"/>
  <c r="I43" i="18"/>
  <c r="I8" i="18"/>
  <c r="I5" i="18"/>
  <c r="I14" i="18"/>
  <c r="I11" i="18"/>
  <c r="I29" i="18"/>
  <c r="G29" i="18"/>
  <c r="G37" i="18"/>
  <c r="I16" i="18"/>
  <c r="G53" i="18"/>
  <c r="I41" i="18"/>
  <c r="I25" i="18"/>
  <c r="H9" i="5"/>
  <c r="H2" i="5"/>
  <c r="G50" i="18"/>
  <c r="I13" i="18"/>
  <c r="G38" i="18"/>
  <c r="I18" i="18"/>
  <c r="G42" i="18"/>
  <c r="G15" i="18"/>
  <c r="G17" i="18"/>
  <c r="I10" i="18"/>
  <c r="G6" i="18"/>
  <c r="G28" i="18"/>
  <c r="I42" i="18"/>
  <c r="G5" i="18"/>
  <c r="G56" i="18"/>
  <c r="G4" i="18"/>
  <c r="I20" i="18"/>
  <c r="I19" i="18"/>
  <c r="I6" i="18"/>
  <c r="I27" i="18"/>
  <c r="G30" i="18"/>
  <c r="H8" i="5"/>
  <c r="G13" i="18"/>
  <c r="I24" i="18"/>
  <c r="I9" i="18"/>
  <c r="G55" i="18"/>
  <c r="G23" i="18"/>
  <c r="I34" i="18"/>
  <c r="F10" i="5"/>
  <c r="G43" i="18"/>
  <c r="G49" i="18"/>
  <c r="I52" i="18"/>
  <c r="I51" i="18"/>
  <c r="G40" i="18"/>
  <c r="I46" i="18"/>
  <c r="I59" i="18" l="1"/>
  <c r="H11" i="5"/>
  <c r="B43" i="8"/>
  <c r="B42" i="8"/>
  <c r="B41" i="8"/>
  <c r="B40" i="8"/>
  <c r="B39" i="8"/>
  <c r="B37" i="8"/>
  <c r="B36" i="8"/>
  <c r="B35" i="8"/>
  <c r="B34" i="8"/>
  <c r="B33" i="8"/>
  <c r="B32" i="8"/>
  <c r="B31" i="8"/>
  <c r="B30" i="8"/>
  <c r="B16" i="8"/>
  <c r="B15" i="8"/>
  <c r="B14" i="8"/>
  <c r="B13" i="8"/>
  <c r="B12" i="8"/>
  <c r="B10" i="8"/>
  <c r="B9" i="8"/>
  <c r="B8" i="8"/>
  <c r="B7" i="8"/>
  <c r="B6" i="8"/>
  <c r="B5" i="8"/>
  <c r="B4" i="8"/>
  <c r="B3" i="8"/>
  <c r="G25" i="18"/>
  <c r="G26" i="18"/>
  <c r="F5" i="5"/>
  <c r="F7" i="5"/>
  <c r="F6" i="5"/>
  <c r="F2" i="5"/>
  <c r="G45" i="18"/>
  <c r="G35" i="18"/>
  <c r="F3" i="5"/>
  <c r="F8" i="5"/>
  <c r="F4" i="5"/>
  <c r="G9" i="18"/>
  <c r="G7" i="18"/>
  <c r="G48" i="18"/>
  <c r="G59" i="18" l="1"/>
  <c r="F11" i="5"/>
</calcChain>
</file>

<file path=xl/sharedStrings.xml><?xml version="1.0" encoding="utf-8"?>
<sst xmlns="http://schemas.openxmlformats.org/spreadsheetml/2006/main" count="1286" uniqueCount="835">
  <si>
    <t>麥當勞</t>
    <phoneticPr fontId="2" type="noConversion"/>
  </si>
  <si>
    <t>早餐</t>
    <phoneticPr fontId="2" type="noConversion"/>
  </si>
  <si>
    <t>熱量 (Kcal)</t>
    <phoneticPr fontId="2" type="noConversion"/>
  </si>
  <si>
    <t>價格 (NTD)</t>
    <phoneticPr fontId="2" type="noConversion"/>
  </si>
  <si>
    <t>午餐</t>
    <phoneticPr fontId="2" type="noConversion"/>
  </si>
  <si>
    <t>晚餐</t>
    <phoneticPr fontId="2" type="noConversion"/>
  </si>
  <si>
    <t>點心</t>
    <phoneticPr fontId="2" type="noConversion"/>
  </si>
  <si>
    <t>豬肉滿福堡加蛋</t>
    <phoneticPr fontId="2" type="noConversion"/>
  </si>
  <si>
    <t>大麥克</t>
    <phoneticPr fontId="2" type="noConversion"/>
  </si>
  <si>
    <t>蘋果派</t>
    <phoneticPr fontId="2" type="noConversion"/>
  </si>
  <si>
    <t>豬肉滿福堡</t>
    <phoneticPr fontId="2" type="noConversion"/>
  </si>
  <si>
    <t>雙層牛肉吉事堡</t>
    <phoneticPr fontId="2" type="noConversion"/>
  </si>
  <si>
    <t>薯餅</t>
    <phoneticPr fontId="2" type="noConversion"/>
  </si>
  <si>
    <t>無敵豬肉滿福堡加蛋</t>
    <phoneticPr fontId="2" type="noConversion"/>
  </si>
  <si>
    <t>四盎司牛肉堡</t>
    <phoneticPr fontId="2" type="noConversion"/>
  </si>
  <si>
    <t>四季沙拉</t>
    <phoneticPr fontId="2" type="noConversion"/>
  </si>
  <si>
    <t>滿福堡</t>
    <phoneticPr fontId="2" type="noConversion"/>
  </si>
  <si>
    <t>雙層四盎司牛肉堡</t>
    <phoneticPr fontId="2" type="noConversion"/>
  </si>
  <si>
    <t>水果袋</t>
    <phoneticPr fontId="2" type="noConversion"/>
  </si>
  <si>
    <t>豬肉蛋堡</t>
    <phoneticPr fontId="2" type="noConversion"/>
  </si>
  <si>
    <t>麥香鷄</t>
    <phoneticPr fontId="2" type="noConversion"/>
  </si>
  <si>
    <t>蛋捲冰淇淋</t>
    <phoneticPr fontId="2" type="noConversion"/>
  </si>
  <si>
    <t>火腿蛋堡</t>
    <phoneticPr fontId="2" type="noConversion"/>
  </si>
  <si>
    <t>雙層麥香鷄</t>
    <phoneticPr fontId="2" type="noConversion"/>
  </si>
  <si>
    <t>大蛋捲冰淇淋</t>
    <phoneticPr fontId="2" type="noConversion"/>
  </si>
  <si>
    <t>吉事蛋堡</t>
    <phoneticPr fontId="2" type="noConversion"/>
  </si>
  <si>
    <t>嫩煎鷄腿堡</t>
    <phoneticPr fontId="2" type="noConversion"/>
  </si>
  <si>
    <t>OREO冰炫風</t>
    <phoneticPr fontId="2" type="noConversion"/>
  </si>
  <si>
    <t>蕈菇嫩蛋焙果堡</t>
    <phoneticPr fontId="2" type="noConversion"/>
  </si>
  <si>
    <t>麥克鷄塊(6塊)</t>
    <phoneticPr fontId="2" type="noConversion"/>
  </si>
  <si>
    <t>雙倍OREO冰炫風</t>
    <phoneticPr fontId="2" type="noConversion"/>
  </si>
  <si>
    <t>番茄嫩蛋焙果堡</t>
    <phoneticPr fontId="2" type="noConversion"/>
  </si>
  <si>
    <t>麥克鷄塊(10塊)</t>
    <phoneticPr fontId="2" type="noConversion"/>
  </si>
  <si>
    <t>薯條 S</t>
    <phoneticPr fontId="2" type="noConversion"/>
  </si>
  <si>
    <t>現烤焙果</t>
    <phoneticPr fontId="2" type="noConversion"/>
  </si>
  <si>
    <t>勁辣鷄腿堡</t>
    <phoneticPr fontId="2" type="noConversion"/>
  </si>
  <si>
    <t>薯條 M</t>
    <phoneticPr fontId="2" type="noConversion"/>
  </si>
  <si>
    <t>鷄塊鬆餅大早餐</t>
    <phoneticPr fontId="2" type="noConversion"/>
  </si>
  <si>
    <t>原味麥脆鷄腿(2塊)</t>
    <phoneticPr fontId="2" type="noConversion"/>
  </si>
  <si>
    <t>薯條 L</t>
    <phoneticPr fontId="2" type="noConversion"/>
  </si>
  <si>
    <t>豬肉鬆餅</t>
    <phoneticPr fontId="2" type="noConversion"/>
  </si>
  <si>
    <t>辣味麥脆鷄腿(2塊)</t>
    <phoneticPr fontId="2" type="noConversion"/>
  </si>
  <si>
    <t>玉米湯 S</t>
    <phoneticPr fontId="2" type="noConversion"/>
  </si>
  <si>
    <t>鬆餅(3片)</t>
    <phoneticPr fontId="2" type="noConversion"/>
  </si>
  <si>
    <t>麥香魚</t>
    <phoneticPr fontId="2" type="noConversion"/>
  </si>
  <si>
    <t>玉米湯 L</t>
    <phoneticPr fontId="2" type="noConversion"/>
  </si>
  <si>
    <t>BLT 安格斯牛肉堡</t>
    <phoneticPr fontId="2" type="noConversion"/>
  </si>
  <si>
    <t>BLT 嫩煎鷄腿堡</t>
    <phoneticPr fontId="2" type="noConversion"/>
  </si>
  <si>
    <t>帕瑪森安格斯牛肉堡</t>
    <phoneticPr fontId="2" type="noConversion"/>
  </si>
  <si>
    <t>薯餅配餐</t>
    <phoneticPr fontId="2" type="noConversion"/>
  </si>
  <si>
    <t>帕瑪森主廚鷄腿堡</t>
    <phoneticPr fontId="2" type="noConversion"/>
  </si>
  <si>
    <t>蕈菇安格斯牛肉堡</t>
    <phoneticPr fontId="2" type="noConversion"/>
  </si>
  <si>
    <t>蕈菇主廚鷄腿堡</t>
    <phoneticPr fontId="2" type="noConversion"/>
  </si>
  <si>
    <t>凱撒辣脆鷄沙拉</t>
  </si>
  <si>
    <t>義式烤鷄沙拉</t>
    <phoneticPr fontId="2" type="noConversion"/>
  </si>
  <si>
    <t>A經典配餐</t>
    <phoneticPr fontId="2" type="noConversion"/>
  </si>
  <si>
    <t>B清爽配餐</t>
    <phoneticPr fontId="2" type="noConversion"/>
  </si>
  <si>
    <t>C勁脆配餐</t>
    <phoneticPr fontId="2" type="noConversion"/>
  </si>
  <si>
    <t>D炫冰配餐</t>
    <phoneticPr fontId="2" type="noConversion"/>
  </si>
  <si>
    <t>E豪吃配餐</t>
    <phoneticPr fontId="2" type="noConversion"/>
  </si>
  <si>
    <t>早餐</t>
  </si>
  <si>
    <t>摩斯漢堡</t>
    <phoneticPr fontId="2" type="noConversion"/>
  </si>
  <si>
    <t>星巴克</t>
    <phoneticPr fontId="2" type="noConversion"/>
  </si>
  <si>
    <t>路易莎</t>
    <phoneticPr fontId="2" type="noConversion"/>
  </si>
  <si>
    <t>麥味登</t>
    <phoneticPr fontId="2" type="noConversion"/>
  </si>
  <si>
    <t>商家選擇</t>
    <phoneticPr fontId="2" type="noConversion"/>
  </si>
  <si>
    <t>類型</t>
    <phoneticPr fontId="2" type="noConversion"/>
  </si>
  <si>
    <t>餐點名稱</t>
    <phoneticPr fontId="2" type="noConversion"/>
  </si>
  <si>
    <t>美味度</t>
    <phoneticPr fontId="2" type="noConversion"/>
  </si>
  <si>
    <t>飽足感</t>
    <phoneticPr fontId="2" type="noConversion"/>
  </si>
  <si>
    <t>價格</t>
    <phoneticPr fontId="2" type="noConversion"/>
  </si>
  <si>
    <t>換算幸福感</t>
    <phoneticPr fontId="2" type="noConversion"/>
  </si>
  <si>
    <t>勁辣香鷄翅(2塊)</t>
    <phoneticPr fontId="2" type="noConversion"/>
  </si>
  <si>
    <t>麥克鷄塊(4塊)</t>
    <phoneticPr fontId="2" type="noConversion"/>
  </si>
  <si>
    <t>麥克雙牛堡</t>
    <phoneticPr fontId="2" type="noConversion"/>
  </si>
  <si>
    <t>漢堡</t>
    <phoneticPr fontId="2" type="noConversion"/>
  </si>
  <si>
    <t>吉事漢堡</t>
    <phoneticPr fontId="2" type="noConversion"/>
  </si>
  <si>
    <t>奶茶 (熱)</t>
    <phoneticPr fontId="2" type="noConversion"/>
  </si>
  <si>
    <t>奶茶(冰)</t>
    <phoneticPr fontId="2" type="noConversion"/>
  </si>
  <si>
    <t>台灣鮮榨柳丁汁(瓶裝)</t>
    <phoneticPr fontId="2" type="noConversion"/>
  </si>
  <si>
    <t>鮮乳(盒裝)</t>
    <phoneticPr fontId="2" type="noConversion"/>
  </si>
  <si>
    <t>可口可樂 (M)</t>
    <phoneticPr fontId="2" type="noConversion"/>
  </si>
  <si>
    <t>雪碧 (M)</t>
    <phoneticPr fontId="2" type="noConversion"/>
  </si>
  <si>
    <t>檸檬風味紅茶 (M)</t>
    <phoneticPr fontId="2" type="noConversion"/>
  </si>
  <si>
    <t>義式濃縮咖啡(熱)</t>
    <phoneticPr fontId="2" type="noConversion"/>
  </si>
  <si>
    <t>經典美式咖啡(熱)</t>
    <phoneticPr fontId="2" type="noConversion"/>
  </si>
  <si>
    <t>經典美式咖啡(冰)</t>
    <phoneticPr fontId="2" type="noConversion"/>
  </si>
  <si>
    <t>經典那堤(熱)</t>
    <phoneticPr fontId="2" type="noConversion"/>
  </si>
  <si>
    <t>經典那堤(冰)</t>
    <phoneticPr fontId="2" type="noConversion"/>
  </si>
  <si>
    <t xml:space="preserve">經典卡布奇諾(熱) </t>
    <phoneticPr fontId="2" type="noConversion"/>
  </si>
  <si>
    <t>經典卡布奇諾(冰)</t>
    <phoneticPr fontId="2" type="noConversion"/>
  </si>
  <si>
    <t>蜂蜜紅茶(冰)</t>
    <phoneticPr fontId="2" type="noConversion"/>
  </si>
  <si>
    <t>蜂蜜奶茶(熱)</t>
    <phoneticPr fontId="2" type="noConversion"/>
  </si>
  <si>
    <t>蜂蜜奶茶(冰)</t>
    <phoneticPr fontId="2" type="noConversion"/>
  </si>
  <si>
    <t>焦糖奶茶(冰)</t>
    <phoneticPr fontId="2" type="noConversion"/>
  </si>
  <si>
    <t>巧克力(熱)</t>
    <phoneticPr fontId="2" type="noConversion"/>
  </si>
  <si>
    <t>熱量</t>
  </si>
  <si>
    <t>價錢</t>
  </si>
  <si>
    <t>蔬菜馬鈴薯泥</t>
  </si>
  <si>
    <t>檸檬塔</t>
  </si>
  <si>
    <t>美式咖啡</t>
  </si>
  <si>
    <t>日式鷄腿馬鈴薯泥</t>
  </si>
  <si>
    <t>檸檬可頌</t>
  </si>
  <si>
    <t>濃縮咖啡</t>
  </si>
  <si>
    <t>熏鮭魚馬鈴薯泥</t>
  </si>
  <si>
    <t>蜂蜜檸檬鬆餅</t>
  </si>
  <si>
    <t>拿鐵咖啡</t>
  </si>
  <si>
    <t>德式熏腸馬鈴薯泥</t>
  </si>
  <si>
    <t>可頌</t>
  </si>
  <si>
    <t>榛果拿鐵</t>
  </si>
  <si>
    <t>辣牛肉馬鈴薯泥</t>
  </si>
  <si>
    <t>貝果</t>
  </si>
  <si>
    <t>玫瑰拿鐵</t>
  </si>
  <si>
    <t>經典鬆餅</t>
  </si>
  <si>
    <t>土司</t>
  </si>
  <si>
    <t>黑糖拿鐵</t>
  </si>
  <si>
    <t>焦糖冰淇淋鬆餅</t>
  </si>
  <si>
    <t>花生芝士夾心土司</t>
  </si>
  <si>
    <t>摩卡</t>
  </si>
  <si>
    <t>楓糖冰淇淋鬆餅</t>
  </si>
  <si>
    <t>熏火腿芝士夾心土司</t>
  </si>
  <si>
    <t>卡布奇諾</t>
  </si>
  <si>
    <t>鮮果派對冰淇淋鬆餅</t>
  </si>
  <si>
    <t>夏威夷派對焗吐司</t>
  </si>
  <si>
    <t>焦糖瑪奇朵</t>
  </si>
  <si>
    <t>新鮮草莓冰淇淋鬆餅</t>
  </si>
  <si>
    <t>番茄鷄肉焗吐司</t>
  </si>
  <si>
    <t>可可瑪奇朵拿鐵</t>
  </si>
  <si>
    <t>巧克力脆片冰淇淋鬆餅</t>
  </si>
  <si>
    <t>德式熏腸土司</t>
  </si>
  <si>
    <t>維也納咖啡</t>
  </si>
  <si>
    <t>抹茶紅豆煉乳冰淇淋鬆餅</t>
  </si>
  <si>
    <t>水果穀物優格盤</t>
  </si>
  <si>
    <t>提拉米蘇拿鐵</t>
  </si>
  <si>
    <t>鮪魚蔬菜鬆餅</t>
  </si>
  <si>
    <t>焦糖北海道牛奶冰淇淋</t>
  </si>
  <si>
    <t>抹茶拿鐵</t>
  </si>
  <si>
    <t>蔬果沙拉</t>
  </si>
  <si>
    <t>地瓜拿鐵</t>
  </si>
  <si>
    <t>煙熏火腿沙拉</t>
  </si>
  <si>
    <t>貝里詩奶酒拿鐵</t>
  </si>
  <si>
    <t>熏鮭魚沙拉</t>
  </si>
  <si>
    <t>鷄胸蛋白沙拉</t>
  </si>
  <si>
    <t>派對 - 咖喱鷄肉</t>
  </si>
  <si>
    <t>派對 - 鮪魚蔬菜</t>
  </si>
  <si>
    <t>派對 - 黑胡椒牛肉</t>
  </si>
  <si>
    <t>派對 - 德式熏腸</t>
  </si>
  <si>
    <t>派對 - 挪威熏鮭魚</t>
  </si>
  <si>
    <t>玫瑰四物茶</t>
  </si>
  <si>
    <t>蔬菜薄餅</t>
  </si>
  <si>
    <t>烤鷄起司薄餅</t>
  </si>
  <si>
    <t>青檸錫蘭紅茶</t>
  </si>
  <si>
    <t>辣牛肉起司薄餅</t>
  </si>
  <si>
    <t>鐵觀音烏龍清茶</t>
  </si>
  <si>
    <t>蔬菜皮塔餅</t>
  </si>
  <si>
    <t>佛手柑錫蘭紅茶</t>
  </si>
  <si>
    <t>咖喱鷄肉皮塔餅</t>
  </si>
  <si>
    <t>黑加侖葡萄烏龍茶</t>
  </si>
  <si>
    <t>熏火腿皮塔餅</t>
  </si>
  <si>
    <t>富士蘋果茶</t>
  </si>
  <si>
    <t>辣牛肉皮塔餅</t>
  </si>
  <si>
    <t>柚香桔子茶</t>
  </si>
  <si>
    <t>日式鷄肉咖喱鐵鍋</t>
  </si>
  <si>
    <t>蘿絲檸檬茶</t>
  </si>
  <si>
    <t>紅酒牛肉鐵鍋</t>
  </si>
  <si>
    <t>黑糖桂圓茶</t>
  </si>
  <si>
    <t>咖喱牛肉鐵鍋</t>
  </si>
  <si>
    <t>玫瑰蘋果茶</t>
  </si>
  <si>
    <t>夏日鮮果茶</t>
  </si>
  <si>
    <t>蜜柚伯爵紅茶</t>
  </si>
  <si>
    <t>公寓特調黑糖奶茶</t>
  </si>
  <si>
    <t>伯爵奶茶</t>
  </si>
  <si>
    <t>玫瑰奶茶</t>
  </si>
  <si>
    <t>榛果奶茶</t>
  </si>
  <si>
    <t>烏龍鐵觀音奶茶</t>
  </si>
  <si>
    <t>焦糖瑪奇朵奶茶</t>
  </si>
  <si>
    <t>貝里詩奶酒奶茶</t>
  </si>
  <si>
    <t>蜂蜜奶茶</t>
  </si>
  <si>
    <t>夏威夷思慕昔</t>
  </si>
  <si>
    <t>歐利歐巧克力脆皮思慕昔</t>
  </si>
  <si>
    <t>宇治抹茶思慕昔</t>
  </si>
  <si>
    <t>香蕉巧克力思慕昔</t>
  </si>
  <si>
    <t>蜂蜜檸檬</t>
  </si>
  <si>
    <t>蜂蜜奇異果</t>
  </si>
  <si>
    <t>香蕉奇異果</t>
  </si>
  <si>
    <t>番茄奇異果</t>
  </si>
  <si>
    <t>檸檬蘋果</t>
  </si>
  <si>
    <t>瑪奇朵焦糖歐蕾</t>
  </si>
  <si>
    <t>抹茶歐蕾</t>
  </si>
  <si>
    <t>可可歐蕾</t>
  </si>
  <si>
    <t>地瓜歐蕾</t>
  </si>
  <si>
    <t>榛果歐蕾</t>
  </si>
  <si>
    <t>黑糖歐蕾</t>
  </si>
  <si>
    <t>可可瑪奇朵歐蕾</t>
  </si>
  <si>
    <t>香蕉抹茶歐蕾</t>
  </si>
  <si>
    <t>草莓優格</t>
  </si>
  <si>
    <t>奇異果優格</t>
  </si>
  <si>
    <t>香蕉優格</t>
  </si>
  <si>
    <t>蘋果優格</t>
  </si>
  <si>
    <t>蘋果蘇打</t>
  </si>
  <si>
    <t>葡萄蘇打</t>
  </si>
  <si>
    <t>法國玫瑰蘇打</t>
  </si>
  <si>
    <t>蜂蜜檸檬蘇打</t>
  </si>
  <si>
    <t>葡萄柚蘇打</t>
  </si>
  <si>
    <t>夏威夷海灘蘇打</t>
  </si>
  <si>
    <t>草莓蘇打</t>
  </si>
  <si>
    <t>布魯萊姆蘇打（含酒精）</t>
  </si>
  <si>
    <t>小公寓</t>
    <phoneticPr fontId="2" type="noConversion"/>
  </si>
  <si>
    <t>熱量(kcal)</t>
    <phoneticPr fontId="4" type="noConversion"/>
  </si>
  <si>
    <t>定價(NTD)</t>
    <phoneticPr fontId="4" type="noConversion"/>
  </si>
  <si>
    <t>開運豬排定食</t>
    <phoneticPr fontId="4" type="noConversion"/>
  </si>
  <si>
    <t>香酥炸腰內肉定食</t>
    <phoneticPr fontId="4" type="noConversion"/>
  </si>
  <si>
    <t>和風咖哩豬排定食</t>
    <phoneticPr fontId="4" type="noConversion"/>
  </si>
  <si>
    <t>黃金魚排定食</t>
    <phoneticPr fontId="4" type="noConversion"/>
  </si>
  <si>
    <t>鮮嫩炸雞柳定食</t>
    <phoneticPr fontId="4" type="noConversion"/>
  </si>
  <si>
    <t>大阪燒豬排定食</t>
    <phoneticPr fontId="4" type="noConversion"/>
  </si>
  <si>
    <t>厚切活力豬排定食</t>
    <phoneticPr fontId="4" type="noConversion"/>
  </si>
  <si>
    <t>黃金起司豬排定食</t>
    <phoneticPr fontId="4" type="noConversion"/>
  </si>
  <si>
    <t>兒童餐</t>
    <phoneticPr fontId="4" type="noConversion"/>
  </si>
  <si>
    <t>定食附餐</t>
    <phoneticPr fontId="4" type="noConversion"/>
  </si>
  <si>
    <t>白飯</t>
    <phoneticPr fontId="4" type="noConversion"/>
  </si>
  <si>
    <t>五彩唇菜</t>
    <phoneticPr fontId="4" type="noConversion"/>
  </si>
  <si>
    <t>海帶素肉</t>
    <phoneticPr fontId="4" type="noConversion"/>
  </si>
  <si>
    <t>味噌湯</t>
    <phoneticPr fontId="4" type="noConversion"/>
  </si>
  <si>
    <t>水果醋</t>
    <phoneticPr fontId="4" type="noConversion"/>
  </si>
  <si>
    <t>和風醬烤雞腿定食</t>
    <phoneticPr fontId="4" type="noConversion"/>
  </si>
  <si>
    <t>鹽烤鯖魚定食</t>
    <phoneticPr fontId="4" type="noConversion"/>
  </si>
  <si>
    <t>起司豬排丼定食</t>
    <phoneticPr fontId="4" type="noConversion"/>
  </si>
  <si>
    <t>開運卡茲豬排定食</t>
    <phoneticPr fontId="4" type="noConversion"/>
  </si>
  <si>
    <t>日式味噌烏龍麵定食</t>
    <phoneticPr fontId="4" type="noConversion"/>
  </si>
  <si>
    <t>芝麻牛蒡絲</t>
    <phoneticPr fontId="4" type="noConversion"/>
  </si>
  <si>
    <t>黃金泡菜</t>
    <phoneticPr fontId="4" type="noConversion"/>
  </si>
  <si>
    <t>涼拌干貝唇</t>
    <phoneticPr fontId="4" type="noConversion"/>
  </si>
  <si>
    <t>茶碗蒸</t>
    <phoneticPr fontId="4" type="noConversion"/>
  </si>
  <si>
    <t>胡麻玉米筍</t>
    <phoneticPr fontId="4" type="noConversion"/>
  </si>
  <si>
    <t>胡麻時蔬</t>
    <phoneticPr fontId="4" type="noConversion"/>
  </si>
  <si>
    <t>胡麻羅馬花椰菜</t>
    <phoneticPr fontId="4" type="noConversion"/>
  </si>
  <si>
    <t>日式唐揚雞</t>
    <phoneticPr fontId="4" type="noConversion"/>
  </si>
  <si>
    <t>金黃脆薯</t>
    <phoneticPr fontId="4" type="noConversion"/>
  </si>
  <si>
    <t>和風豆腐</t>
    <phoneticPr fontId="4" type="noConversion"/>
  </si>
  <si>
    <t>酥炸雞塊</t>
    <phoneticPr fontId="4" type="noConversion"/>
  </si>
  <si>
    <t>麻糬冰淇淋</t>
    <phoneticPr fontId="4" type="noConversion"/>
  </si>
  <si>
    <t>午餐</t>
    <phoneticPr fontId="4" type="noConversion"/>
  </si>
  <si>
    <t>福勝亭</t>
    <phoneticPr fontId="2" type="noConversion"/>
  </si>
  <si>
    <t>晚餐</t>
    <phoneticPr fontId="4" type="noConversion"/>
  </si>
  <si>
    <t>價格</t>
  </si>
  <si>
    <t>原塊嫩雞起司漢堡</t>
  </si>
  <si>
    <t>檸檬雞堡</t>
  </si>
  <si>
    <t>鮮蔬堡</t>
  </si>
  <si>
    <t>鮮蛋沙拉堡</t>
  </si>
  <si>
    <t>歐姆蛋漢堡</t>
  </si>
  <si>
    <t>超厚蔬肉堡</t>
  </si>
  <si>
    <t>超厚雞肉起司堡</t>
  </si>
  <si>
    <t>超厚牛肉起司漢堡</t>
  </si>
  <si>
    <t>培根漢堡</t>
  </si>
  <si>
    <t>香雞漢堡</t>
  </si>
  <si>
    <t>鮪魚漢堡</t>
  </si>
  <si>
    <t>黑胡椒豬里肌漢堡</t>
  </si>
  <si>
    <t>燻雞漢堡</t>
  </si>
  <si>
    <t>卡滋雞腿漢堡</t>
  </si>
  <si>
    <t>草莓抹醬湯種</t>
  </si>
  <si>
    <t>草莓布里歐皇厚吐司</t>
  </si>
  <si>
    <t>顆粒花生抹醬湯種</t>
  </si>
  <si>
    <t>巧克力布里歐皇厚吐司</t>
  </si>
  <si>
    <t>顆粒花生布里歐皇厚吐司</t>
  </si>
  <si>
    <t>香蒜布里歐皇厚吐司</t>
  </si>
  <si>
    <t>香蒜抹醬湯種</t>
  </si>
  <si>
    <t>巧克力抹醬湯種</t>
  </si>
  <si>
    <t>原塊嫩雞起司湯種</t>
  </si>
  <si>
    <t>鮮蔬湯種</t>
  </si>
  <si>
    <t>歐姆蛋湯種</t>
  </si>
  <si>
    <t>超厚雞肉起司湯種</t>
  </si>
  <si>
    <t>超厚蔬肉湯種</t>
  </si>
  <si>
    <t>豬肉湯種</t>
  </si>
  <si>
    <t>培根湯種</t>
  </si>
  <si>
    <t>香雞湯種</t>
  </si>
  <si>
    <t>鮮蛋沙拉湯種</t>
  </si>
  <si>
    <t>鮪魚湯種</t>
  </si>
  <si>
    <t>黑胡椒豬里肌湯種</t>
  </si>
  <si>
    <t>燻雞湯種</t>
  </si>
  <si>
    <t>檸檬雞湯種</t>
  </si>
  <si>
    <t>卡滋雞腿湯種</t>
  </si>
  <si>
    <t>蕈菇握蛋捲餅</t>
  </si>
  <si>
    <t>酥炸杏鮑菇</t>
  </si>
  <si>
    <t>原塊嫩雞(單片)</t>
  </si>
  <si>
    <t>嫩煎腿排</t>
  </si>
  <si>
    <t>菜脯蛋</t>
  </si>
  <si>
    <t>椒麻雞塊(5塊)</t>
  </si>
  <si>
    <t>時蔬嫩蛋</t>
  </si>
  <si>
    <t>香檸雞柳條(3條)</t>
  </si>
  <si>
    <t>法國吐司</t>
  </si>
  <si>
    <t>燻雞握蛋捲餅</t>
  </si>
  <si>
    <t>鮪魚握蛋捲餅</t>
  </si>
  <si>
    <t>豬里肌握蛋捲餅</t>
  </si>
  <si>
    <t>德腸握蛋捲餅</t>
  </si>
  <si>
    <t>培根握蛋捲餅</t>
  </si>
  <si>
    <t>起司雙重奏握蛋捲餅</t>
  </si>
  <si>
    <t>古早味拼盤</t>
  </si>
  <si>
    <t>中式拼盤</t>
  </si>
  <si>
    <t>地瓜沙拉</t>
  </si>
  <si>
    <t>台灣番薯(2顆)</t>
  </si>
  <si>
    <t>巧達濃湯</t>
  </si>
  <si>
    <t>嫩雞沙拉</t>
  </si>
  <si>
    <t>原味蛋餅</t>
  </si>
  <si>
    <t>鮪魚蛋餅</t>
  </si>
  <si>
    <t>鮮蔬玉米蛋餅</t>
  </si>
  <si>
    <t>手工蔥抓蛋餅</t>
  </si>
  <si>
    <t>黃金泡菜蔥抓餅</t>
  </si>
  <si>
    <t>蘿蔔糕</t>
  </si>
  <si>
    <t>黃金泡菜蘿蔔糕</t>
  </si>
  <si>
    <t>黃金泡菜酥炸餃</t>
  </si>
  <si>
    <t>雞塊</t>
  </si>
  <si>
    <t>黃金脆薯</t>
  </si>
  <si>
    <t>唐揚雞塊</t>
  </si>
  <si>
    <t>四角薯餅</t>
  </si>
  <si>
    <t>美式鬆餅</t>
  </si>
  <si>
    <t>歐姆蛋</t>
  </si>
  <si>
    <t>薯餅蛋塔</t>
  </si>
  <si>
    <t>鮮蛋沙拉</t>
  </si>
  <si>
    <t>燻雞沙拉</t>
  </si>
  <si>
    <t>奶油玉米濃湯</t>
  </si>
  <si>
    <t>薯餅蛋餅</t>
  </si>
  <si>
    <t>豬里肌蛋餅</t>
  </si>
  <si>
    <t>火腿薯餅滿分堡</t>
  </si>
  <si>
    <t>草莓丹麥</t>
  </si>
  <si>
    <t>顆粒花生丹麥</t>
  </si>
  <si>
    <t>檸檬雞可頌</t>
  </si>
  <si>
    <t>蕈菇起司蛋滿分堡</t>
  </si>
  <si>
    <t>原塊嫩雞起司滿分堡</t>
  </si>
  <si>
    <t>燻雞丹麥堡</t>
  </si>
  <si>
    <t>鮮蔬可頌</t>
  </si>
  <si>
    <t>歐姆蛋滿分堡</t>
  </si>
  <si>
    <t>黑胡椒豬里肌蛋滿分堡</t>
  </si>
  <si>
    <t>黑胡椒豬里肌可頌</t>
  </si>
  <si>
    <t>巧克力丹麥</t>
  </si>
  <si>
    <t>香雞丹麥堡</t>
  </si>
  <si>
    <t>黑胡椒豬里肌丹麥堡</t>
  </si>
  <si>
    <t>香蒜丹麥</t>
  </si>
  <si>
    <t>超厚雞肉起司丹麥堡</t>
  </si>
  <si>
    <t>燻雞可頌</t>
  </si>
  <si>
    <t>花生厚牛起司滿分堡</t>
  </si>
  <si>
    <t>檸檬雞丹麥堡</t>
  </si>
  <si>
    <t>鮮蛋沙拉可頌</t>
  </si>
  <si>
    <t>超厚雞肉起司可頌</t>
  </si>
  <si>
    <t>培根丹麥堡</t>
  </si>
  <si>
    <t>歐姆蛋可頌</t>
  </si>
  <si>
    <t>原塊嫩雞起司丹麥堡</t>
  </si>
  <si>
    <t>原塊嫩雞起司可頌</t>
  </si>
  <si>
    <t>超厚雞肉起司滿分堡</t>
  </si>
  <si>
    <t>香雞可頌</t>
  </si>
  <si>
    <t>鮪魚蛋滿分堡</t>
  </si>
  <si>
    <t>豬肉可頌</t>
  </si>
  <si>
    <t>培根可頌</t>
  </si>
  <si>
    <t>鮪魚可頌</t>
  </si>
  <si>
    <t>歐姆蛋丹麥堡</t>
  </si>
  <si>
    <t>鮪魚丹麥堡</t>
  </si>
  <si>
    <t>豬肉丹麥堡</t>
  </si>
  <si>
    <t>鮮蛋沙拉丹麥堡</t>
  </si>
  <si>
    <t>鮮蔬丹麥堡</t>
  </si>
  <si>
    <t>超厚牛肉起司丹麥堡</t>
  </si>
  <si>
    <t>超厚牛肉起司可頌</t>
  </si>
  <si>
    <t>超厚蔬肉起司滿分堡</t>
  </si>
  <si>
    <t>超厚蔬肉丹麥堡</t>
  </si>
  <si>
    <t>超厚蔬肉可頌</t>
  </si>
  <si>
    <t>卡滋雞腿可頌</t>
  </si>
  <si>
    <t>卡滋雞丹麥堡</t>
  </si>
  <si>
    <t>蘑菇鐵板麵</t>
  </si>
  <si>
    <t>黑胡椒鐵板麵</t>
  </si>
  <si>
    <t>好食嫩雞餐</t>
  </si>
  <si>
    <t>川味麻辣鐵板麵</t>
  </si>
  <si>
    <t>青醬蘑菇義大利麵</t>
  </si>
  <si>
    <t>眷村麻醬鐵板麵</t>
  </si>
  <si>
    <t>茄汁檸檬雞義大利麵</t>
  </si>
  <si>
    <t xml:space="preserve">奶油蕈菇燉飯 </t>
  </si>
  <si>
    <t>茄汁德腸燉飯</t>
  </si>
  <si>
    <t>優蛋白蛋捲餐</t>
  </si>
  <si>
    <t>樂活特餐</t>
  </si>
  <si>
    <t>青醬雞肉義大利麵</t>
  </si>
  <si>
    <t>茄汁原塊嫩雞義大利麵</t>
  </si>
  <si>
    <t>地瓜雞肉餐</t>
  </si>
  <si>
    <t>紫米時蔬嫩雞飯</t>
  </si>
  <si>
    <t>法式特餐</t>
  </si>
  <si>
    <t>咖哩杏鮑菇燉飯</t>
  </si>
  <si>
    <t>奶油培根義大利麵</t>
  </si>
  <si>
    <t>巧達義式餃</t>
  </si>
  <si>
    <t>幸福特餐</t>
  </si>
  <si>
    <t>美式鬆餅特餐</t>
  </si>
  <si>
    <t>法式蘿勒鮪魚特餐</t>
  </si>
  <si>
    <t>蘿勒燻雞三明治特餐</t>
  </si>
  <si>
    <t>咖哩唐揚雞蛋包飯</t>
  </si>
  <si>
    <t>蘿勒燻雞燉飯</t>
  </si>
  <si>
    <t>西式紅酒牛肉飯</t>
  </si>
  <si>
    <t>威爾遜嫩煎腿排可頌餐</t>
  </si>
  <si>
    <t>泰式卡滋脆雞餐</t>
  </si>
  <si>
    <t>萊姆蜜紅茶</t>
  </si>
  <si>
    <t>紅茶拿鐵</t>
  </si>
  <si>
    <t>夏威夷冰茶</t>
  </si>
  <si>
    <t>焦糖拿鐵</t>
  </si>
  <si>
    <t>紐西蘭牛奶</t>
  </si>
  <si>
    <t xml:space="preserve">豆漿紅茶XL </t>
  </si>
  <si>
    <t>錫蘭紅茶XL</t>
  </si>
  <si>
    <t>黑糖方Q撞奶</t>
  </si>
  <si>
    <t>無糖豆漿XL</t>
  </si>
  <si>
    <t>山藥薏仁漿</t>
  </si>
  <si>
    <t>可可牛奶</t>
  </si>
  <si>
    <t>奶茶XL</t>
  </si>
  <si>
    <t>手熬冬瓜茶</t>
  </si>
  <si>
    <t>熱帶水果茶</t>
  </si>
  <si>
    <t>鮮檸冬瓜茶</t>
  </si>
  <si>
    <t>熱量(KCAL)</t>
    <phoneticPr fontId="2" type="noConversion"/>
  </si>
  <si>
    <t>路易莎</t>
    <phoneticPr fontId="4" type="noConversion"/>
  </si>
  <si>
    <t>熱量(Kcal)</t>
    <phoneticPr fontId="4" type="noConversion"/>
  </si>
  <si>
    <t>價格(NTD)</t>
    <phoneticPr fontId="4" type="noConversion"/>
  </si>
  <si>
    <t xml:space="preserve">植物肉丸麥香三明治 </t>
    <phoneticPr fontId="4" type="noConversion"/>
  </si>
  <si>
    <t>經典植物肉排風味吐司磚壓三明治</t>
    <phoneticPr fontId="4" type="noConversion"/>
  </si>
  <si>
    <t>植物肉排麥香三明治</t>
    <phoneticPr fontId="4" type="noConversion"/>
  </si>
  <si>
    <t>植物肉排瑪芬堡</t>
    <phoneticPr fontId="4" type="noConversion"/>
  </si>
  <si>
    <t>植物肉排炊米堡</t>
    <phoneticPr fontId="4" type="noConversion"/>
  </si>
  <si>
    <t>植物肉排風味三明治</t>
    <phoneticPr fontId="4" type="noConversion"/>
  </si>
  <si>
    <t>植物肉排貝果</t>
    <phoneticPr fontId="4" type="noConversion"/>
  </si>
  <si>
    <t>青醬野菇磚壓三明治</t>
    <phoneticPr fontId="4" type="noConversion"/>
  </si>
  <si>
    <t>火腿起司磚壓三明治</t>
    <phoneticPr fontId="4" type="noConversion"/>
  </si>
  <si>
    <t>鮪魚玉米磚壓三明治</t>
    <phoneticPr fontId="4" type="noConversion"/>
  </si>
  <si>
    <t>培根起司蛋磚壓三明治</t>
    <phoneticPr fontId="4" type="noConversion"/>
  </si>
  <si>
    <t>薑汁燒肉磚壓三明治</t>
    <phoneticPr fontId="4" type="noConversion"/>
  </si>
  <si>
    <t>墨西哥辣椒豬肉磚壓三明治</t>
    <phoneticPr fontId="4" type="noConversion"/>
  </si>
  <si>
    <t>墨西哥辣椒牛肉磚壓三明治</t>
    <phoneticPr fontId="4" type="noConversion"/>
  </si>
  <si>
    <t>法式紅酒牛肉磚壓三明治</t>
    <phoneticPr fontId="4" type="noConversion"/>
  </si>
  <si>
    <t>蜂蜜法式吐司</t>
    <phoneticPr fontId="4" type="noConversion"/>
  </si>
  <si>
    <t>草莓法式吐司</t>
    <phoneticPr fontId="4" type="noConversion"/>
  </si>
  <si>
    <t>藍莓法式吐司</t>
    <phoneticPr fontId="4" type="noConversion"/>
  </si>
  <si>
    <t>榛果可可法式吐司</t>
    <phoneticPr fontId="4" type="noConversion"/>
  </si>
  <si>
    <t>脆粒花生法式吐司</t>
    <phoneticPr fontId="4" type="noConversion"/>
  </si>
  <si>
    <t>芋泥法式吐司</t>
    <phoneticPr fontId="4" type="noConversion"/>
  </si>
  <si>
    <t>火腿法式吐司</t>
    <phoneticPr fontId="4" type="noConversion"/>
  </si>
  <si>
    <t>鮪魚法式吐司</t>
    <phoneticPr fontId="4" type="noConversion"/>
  </si>
  <si>
    <t>蔬菜法式吐司</t>
    <phoneticPr fontId="4" type="noConversion"/>
  </si>
  <si>
    <t>燻雞法式吐司</t>
    <phoneticPr fontId="4" type="noConversion"/>
  </si>
  <si>
    <t>烤腿排法式吐司</t>
    <phoneticPr fontId="4" type="noConversion"/>
  </si>
  <si>
    <t>義式里肌豬法式吐司</t>
    <phoneticPr fontId="4" type="noConversion"/>
  </si>
  <si>
    <t>豬肉起司瑪芬堡</t>
    <phoneticPr fontId="4" type="noConversion"/>
  </si>
  <si>
    <t>豬肉瑪芬堡加蛋</t>
    <phoneticPr fontId="4" type="noConversion"/>
  </si>
  <si>
    <t>雙層豬肉瑪芬堡</t>
    <phoneticPr fontId="4" type="noConversion"/>
  </si>
  <si>
    <t>雙層豬肉瑪芬堡加蛋</t>
    <phoneticPr fontId="4" type="noConversion"/>
  </si>
  <si>
    <t>起司蛋堡</t>
    <phoneticPr fontId="4" type="noConversion"/>
  </si>
  <si>
    <t>火腿起司蛋堡</t>
    <phoneticPr fontId="4" type="noConversion"/>
  </si>
  <si>
    <t>培根起司蛋堡</t>
    <phoneticPr fontId="4" type="noConversion"/>
  </si>
  <si>
    <t>火腿麥香三明治</t>
    <phoneticPr fontId="4" type="noConversion"/>
  </si>
  <si>
    <t>蔬菜麥香三明治</t>
    <phoneticPr fontId="4" type="noConversion"/>
  </si>
  <si>
    <t>鮪魚麥香三明治</t>
    <phoneticPr fontId="4" type="noConversion"/>
  </si>
  <si>
    <t>燻雞麥香三明治</t>
    <phoneticPr fontId="4" type="noConversion"/>
  </si>
  <si>
    <t>烤腿排麥香三明治</t>
    <phoneticPr fontId="4" type="noConversion"/>
  </si>
  <si>
    <t>義式里肌豬麥香三明治</t>
    <phoneticPr fontId="4" type="noConversion"/>
  </si>
  <si>
    <t>火腿風味三明治</t>
    <phoneticPr fontId="4" type="noConversion"/>
  </si>
  <si>
    <t>蔬菜風味三明治</t>
    <phoneticPr fontId="4" type="noConversion"/>
  </si>
  <si>
    <t>鮪魚風味三明治</t>
    <phoneticPr fontId="4" type="noConversion"/>
  </si>
  <si>
    <t>燻雞風味三明治</t>
    <phoneticPr fontId="4" type="noConversion"/>
  </si>
  <si>
    <t>烤腿排風味三明治</t>
    <phoneticPr fontId="4" type="noConversion"/>
  </si>
  <si>
    <t>義式里肌豬風味三明治</t>
    <phoneticPr fontId="4" type="noConversion"/>
  </si>
  <si>
    <t>火腿佛卡夏</t>
    <phoneticPr fontId="4" type="noConversion"/>
  </si>
  <si>
    <t>蔬菜佛卡夏</t>
    <phoneticPr fontId="4" type="noConversion"/>
  </si>
  <si>
    <t>鮪魚佛卡夏</t>
    <phoneticPr fontId="4" type="noConversion"/>
  </si>
  <si>
    <t>燻雞佛卡夏</t>
    <phoneticPr fontId="4" type="noConversion"/>
  </si>
  <si>
    <t>烤腿排佛卡夏</t>
    <phoneticPr fontId="4" type="noConversion"/>
  </si>
  <si>
    <t>義式里肌豬佛卡夏</t>
    <phoneticPr fontId="4" type="noConversion"/>
  </si>
  <si>
    <t>火腿貝果</t>
    <phoneticPr fontId="4" type="noConversion"/>
  </si>
  <si>
    <t>蔬菜貝果</t>
    <phoneticPr fontId="4" type="noConversion"/>
  </si>
  <si>
    <t>鮪魚貝果</t>
    <phoneticPr fontId="4" type="noConversion"/>
  </si>
  <si>
    <t>燻雞貝果</t>
    <phoneticPr fontId="4" type="noConversion"/>
  </si>
  <si>
    <t>義式里肌豬貝果</t>
    <phoneticPr fontId="4" type="noConversion"/>
  </si>
  <si>
    <t>烤腿排貝果</t>
    <phoneticPr fontId="4" type="noConversion"/>
  </si>
  <si>
    <t>蜂蜜貝果</t>
    <phoneticPr fontId="4" type="noConversion"/>
  </si>
  <si>
    <t>藍莓貝果</t>
    <phoneticPr fontId="4" type="noConversion"/>
  </si>
  <si>
    <t>草莓貝果</t>
    <phoneticPr fontId="4" type="noConversion"/>
  </si>
  <si>
    <t>榛果可可貝果</t>
    <phoneticPr fontId="4" type="noConversion"/>
  </si>
  <si>
    <t>脆粒花生貝果</t>
    <phoneticPr fontId="4" type="noConversion"/>
  </si>
  <si>
    <t>芋泥貝果</t>
    <phoneticPr fontId="4" type="noConversion"/>
  </si>
  <si>
    <t>豬肉起司炊米堡</t>
    <phoneticPr fontId="4" type="noConversion"/>
  </si>
  <si>
    <t>墨西哥辣椒豬肉炊米堡</t>
    <phoneticPr fontId="4" type="noConversion"/>
  </si>
  <si>
    <t>薑汁燒肉炊米堡</t>
    <phoneticPr fontId="4" type="noConversion"/>
  </si>
  <si>
    <t>墨西哥辣椒牛肉炊米堡</t>
    <phoneticPr fontId="4" type="noConversion"/>
  </si>
  <si>
    <t>法式紅酒牛肉炊米堡</t>
    <phoneticPr fontId="4" type="noConversion"/>
  </si>
  <si>
    <t>墨西哥辣椒豬肉堡</t>
    <phoneticPr fontId="4" type="noConversion"/>
  </si>
  <si>
    <t>日式燒肉堡</t>
    <phoneticPr fontId="4" type="noConversion"/>
  </si>
  <si>
    <t>墨西哥辣椒牛肉堡</t>
    <phoneticPr fontId="4" type="noConversion"/>
  </si>
  <si>
    <t>法式紅酒牛肉堡</t>
    <phoneticPr fontId="4" type="noConversion"/>
  </si>
  <si>
    <t>雙層起司雞腿堡</t>
    <phoneticPr fontId="4" type="noConversion"/>
  </si>
  <si>
    <t>點心</t>
    <phoneticPr fontId="4" type="noConversion"/>
  </si>
  <si>
    <t>伯爵柚香波士頓派</t>
    <phoneticPr fontId="4" type="noConversion"/>
  </si>
  <si>
    <t>伯爵核桃軟餅乾</t>
    <phoneticPr fontId="4" type="noConversion"/>
  </si>
  <si>
    <t>生酮乳酪捲</t>
    <phoneticPr fontId="4" type="noConversion"/>
  </si>
  <si>
    <t>生酮伯爵茶乳酪捲</t>
    <phoneticPr fontId="4" type="noConversion"/>
  </si>
  <si>
    <t>焦糖核桃咖啡派</t>
    <phoneticPr fontId="4" type="noConversion"/>
  </si>
  <si>
    <t>岩燒黃金乳酪派</t>
    <phoneticPr fontId="4" type="noConversion"/>
  </si>
  <si>
    <t>檸檬脆皮泡芙</t>
    <phoneticPr fontId="4" type="noConversion"/>
  </si>
  <si>
    <t>深黑巧克脆皮泡芙</t>
    <phoneticPr fontId="4" type="noConversion"/>
  </si>
  <si>
    <t>草莓脆皮泡芙</t>
    <phoneticPr fontId="4" type="noConversion"/>
  </si>
  <si>
    <t>慢熟乳酪蛋糕</t>
    <phoneticPr fontId="4" type="noConversion"/>
  </si>
  <si>
    <t>法式布蕾(原味)</t>
    <phoneticPr fontId="4" type="noConversion"/>
  </si>
  <si>
    <t>青檸塔</t>
    <phoneticPr fontId="4" type="noConversion"/>
  </si>
  <si>
    <t>提拉米蘇</t>
    <phoneticPr fontId="4" type="noConversion"/>
  </si>
  <si>
    <t>焦糖蘋果派</t>
    <phoneticPr fontId="4" type="noConversion"/>
  </si>
  <si>
    <t>法式鹹派</t>
    <phoneticPr fontId="4" type="noConversion"/>
  </si>
  <si>
    <t>檸檬糖霜溫蛋糕</t>
    <phoneticPr fontId="4" type="noConversion"/>
  </si>
  <si>
    <t>香蕉核桃旅人蛋糕</t>
    <phoneticPr fontId="4" type="noConversion"/>
  </si>
  <si>
    <t>愛情靈藥</t>
    <phoneticPr fontId="4" type="noConversion"/>
  </si>
  <si>
    <t>咖啡拿鐵</t>
    <phoneticPr fontId="4" type="noConversion"/>
  </si>
  <si>
    <t>卡布奇諾</t>
    <phoneticPr fontId="4" type="noConversion"/>
  </si>
  <si>
    <t>焦糖拿鐵</t>
    <phoneticPr fontId="4" type="noConversion"/>
  </si>
  <si>
    <t>榛果拿鐵</t>
    <phoneticPr fontId="4" type="noConversion"/>
  </si>
  <si>
    <t>香草拿鐵</t>
    <phoneticPr fontId="4" type="noConversion"/>
  </si>
  <si>
    <t>橘皮拿鐵</t>
    <phoneticPr fontId="4" type="noConversion"/>
  </si>
  <si>
    <t>黑糖拿鐵</t>
    <phoneticPr fontId="4" type="noConversion"/>
  </si>
  <si>
    <t>義式摩卡</t>
    <phoneticPr fontId="4" type="noConversion"/>
  </si>
  <si>
    <t>焦糖瑪奇朵</t>
    <phoneticPr fontId="4" type="noConversion"/>
  </si>
  <si>
    <t>路易莎特調咖啡</t>
    <phoneticPr fontId="4" type="noConversion"/>
  </si>
  <si>
    <t>鴛鴦咖啡</t>
    <phoneticPr fontId="4" type="noConversion"/>
  </si>
  <si>
    <t>美式黑咖啡</t>
    <phoneticPr fontId="4" type="noConversion"/>
  </si>
  <si>
    <t>燕麥拿鐵</t>
    <phoneticPr fontId="4" type="noConversion"/>
  </si>
  <si>
    <t>抹茶拿鐵</t>
    <phoneticPr fontId="4" type="noConversion"/>
  </si>
  <si>
    <t>莊園拿鐵</t>
    <phoneticPr fontId="4" type="noConversion"/>
  </si>
  <si>
    <t>莊園美式</t>
    <phoneticPr fontId="4" type="noConversion"/>
  </si>
  <si>
    <t>澳洲小拿鐵</t>
    <phoneticPr fontId="4" type="noConversion"/>
  </si>
  <si>
    <t>日曬耶加</t>
    <phoneticPr fontId="4" type="noConversion"/>
  </si>
  <si>
    <t>黃金曼特寧</t>
    <phoneticPr fontId="4" type="noConversion"/>
  </si>
  <si>
    <t>水洗耶加</t>
    <phoneticPr fontId="4" type="noConversion"/>
  </si>
  <si>
    <t>肯亞</t>
    <phoneticPr fontId="4" type="noConversion"/>
  </si>
  <si>
    <t>曼特寧</t>
    <phoneticPr fontId="4" type="noConversion"/>
  </si>
  <si>
    <t>哥倫比亞</t>
    <phoneticPr fontId="4" type="noConversion"/>
  </si>
  <si>
    <t>曼巴</t>
    <phoneticPr fontId="4" type="noConversion"/>
  </si>
  <si>
    <t>莊園老饕深焙</t>
    <phoneticPr fontId="4" type="noConversion"/>
  </si>
  <si>
    <t>錫蘭紅茶</t>
    <phoneticPr fontId="4" type="noConversion"/>
  </si>
  <si>
    <t>薰香綠茶</t>
    <phoneticPr fontId="4" type="noConversion"/>
  </si>
  <si>
    <t>經典水果茶</t>
    <phoneticPr fontId="4" type="noConversion"/>
  </si>
  <si>
    <t>柳橙綠茶</t>
    <phoneticPr fontId="4" type="noConversion"/>
  </si>
  <si>
    <t>檸檬綠茶</t>
    <phoneticPr fontId="4" type="noConversion"/>
  </si>
  <si>
    <t>百香綠茶</t>
    <phoneticPr fontId="4" type="noConversion"/>
  </si>
  <si>
    <t>芒果綠茶</t>
    <phoneticPr fontId="4" type="noConversion"/>
  </si>
  <si>
    <t>太妃糖紅茶</t>
    <phoneticPr fontId="4" type="noConversion"/>
  </si>
  <si>
    <t>太妃糖奶茶</t>
    <phoneticPr fontId="4" type="noConversion"/>
  </si>
  <si>
    <t>太妃糖鮮奶茶</t>
    <phoneticPr fontId="4" type="noConversion"/>
  </si>
  <si>
    <t>貴妃荔枝紅茶</t>
    <phoneticPr fontId="4" type="noConversion"/>
  </si>
  <si>
    <t>貴妃荔枝奶茶</t>
    <phoneticPr fontId="4" type="noConversion"/>
  </si>
  <si>
    <t>貴妃荔枝鮮奶茶</t>
    <phoneticPr fontId="4" type="noConversion"/>
  </si>
  <si>
    <t>四季翠玉青茶</t>
    <phoneticPr fontId="4" type="noConversion"/>
  </si>
  <si>
    <t>四季翠玉奶茶</t>
    <phoneticPr fontId="4" type="noConversion"/>
  </si>
  <si>
    <t>四季翠玉鮮奶茶</t>
    <phoneticPr fontId="4" type="noConversion"/>
  </si>
  <si>
    <t>愛丁堡女王紅茶</t>
    <phoneticPr fontId="4" type="noConversion"/>
  </si>
  <si>
    <t>義式巧克力</t>
    <phoneticPr fontId="4" type="noConversion"/>
  </si>
  <si>
    <t>水蜜桃蘋果茶</t>
    <phoneticPr fontId="4" type="noConversion"/>
  </si>
  <si>
    <t>紅蜜鮮奶茶</t>
    <phoneticPr fontId="4" type="noConversion"/>
  </si>
  <si>
    <t>泰式鮮奶茶</t>
    <phoneticPr fontId="4" type="noConversion"/>
  </si>
  <si>
    <t>生椰美式</t>
    <phoneticPr fontId="4" type="noConversion"/>
  </si>
  <si>
    <t>生椰拿鐵</t>
    <phoneticPr fontId="4" type="noConversion"/>
  </si>
  <si>
    <t>一番抹茶鮮奶茶</t>
    <phoneticPr fontId="4" type="noConversion"/>
  </si>
  <si>
    <t>南非國寶青檸茶</t>
    <phoneticPr fontId="4" type="noConversion"/>
  </si>
  <si>
    <t>泰奶咖啡</t>
    <phoneticPr fontId="4" type="noConversion"/>
  </si>
  <si>
    <t>小農經典拿鐵</t>
    <phoneticPr fontId="4" type="noConversion"/>
  </si>
  <si>
    <t>小農鮮奶咖啡</t>
    <phoneticPr fontId="4" type="noConversion"/>
  </si>
  <si>
    <t>小農雪點鮮奶茶</t>
    <phoneticPr fontId="4" type="noConversion"/>
  </si>
  <si>
    <t>精選英式紅茶</t>
    <phoneticPr fontId="4" type="noConversion"/>
  </si>
  <si>
    <t>精選英式奶茶</t>
    <phoneticPr fontId="4" type="noConversion"/>
  </si>
  <si>
    <t>精選英式紅茶拿鐵</t>
    <phoneticPr fontId="4" type="noConversion"/>
  </si>
  <si>
    <t>黑糖雪點奶茶</t>
    <phoneticPr fontId="4" type="noConversion"/>
  </si>
  <si>
    <t>早餐</t>
    <phoneticPr fontId="4" type="noConversion"/>
  </si>
  <si>
    <t>星巴客</t>
    <phoneticPr fontId="2" type="noConversion"/>
  </si>
  <si>
    <t>熱量(大卡)</t>
    <phoneticPr fontId="2" type="noConversion"/>
  </si>
  <si>
    <t>Bearista奶油瑪德蓮</t>
  </si>
  <si>
    <t>提拉米蘇布丁</t>
    <phoneticPr fontId="2" type="noConversion"/>
  </si>
  <si>
    <t>美式巧克力豆餅乾</t>
    <phoneticPr fontId="2" type="noConversion"/>
  </si>
  <si>
    <t>巧克力司康</t>
    <phoneticPr fontId="2" type="noConversion"/>
  </si>
  <si>
    <t>原味布丁</t>
    <phoneticPr fontId="2" type="noConversion"/>
  </si>
  <si>
    <t>棉花糖巧克力餅乾</t>
    <phoneticPr fontId="2" type="noConversion"/>
  </si>
  <si>
    <t>綜合堅果塔</t>
    <phoneticPr fontId="2" type="noConversion"/>
  </si>
  <si>
    <t>可麗露</t>
    <phoneticPr fontId="2" type="noConversion"/>
  </si>
  <si>
    <t>葡萄乾司康</t>
    <phoneticPr fontId="2" type="noConversion"/>
  </si>
  <si>
    <t>蘋果卡士達熱壓可頌</t>
    <phoneticPr fontId="2" type="noConversion"/>
  </si>
  <si>
    <t>栗香可麗露</t>
    <phoneticPr fontId="2" type="noConversion"/>
  </si>
  <si>
    <t>開心果千層蛋塔</t>
    <phoneticPr fontId="2" type="noConversion"/>
  </si>
  <si>
    <t>紅心芭樂雙層起司蛋糕</t>
    <phoneticPr fontId="2" type="noConversion"/>
  </si>
  <si>
    <t>焦糖核果巧克力塔</t>
    <phoneticPr fontId="2" type="noConversion"/>
  </si>
  <si>
    <t>藍莓波士頓派</t>
    <phoneticPr fontId="2" type="noConversion"/>
  </si>
  <si>
    <t>巧克力布蕾戚風捲</t>
    <phoneticPr fontId="2" type="noConversion"/>
  </si>
  <si>
    <t>栗子可可脆片蛋糕</t>
    <phoneticPr fontId="2" type="noConversion"/>
  </si>
  <si>
    <t>經典法式千層薄餅</t>
    <phoneticPr fontId="2" type="noConversion"/>
  </si>
  <si>
    <t>馬斯卡邦輕乳蛋糕</t>
    <phoneticPr fontId="2" type="noConversion"/>
  </si>
  <si>
    <t>松露生巧克力蛋糕</t>
    <phoneticPr fontId="2" type="noConversion"/>
  </si>
  <si>
    <t>岩漿巧克力蛋糕</t>
    <phoneticPr fontId="2" type="noConversion"/>
  </si>
  <si>
    <t>經典起司蛋糕</t>
    <phoneticPr fontId="2" type="noConversion"/>
  </si>
  <si>
    <t>檸檬塔</t>
    <phoneticPr fontId="2" type="noConversion"/>
  </si>
  <si>
    <t>黑森林蛋糕</t>
    <phoneticPr fontId="2" type="noConversion"/>
  </si>
  <si>
    <t>可可伯爵薄餅</t>
    <phoneticPr fontId="2" type="noConversion"/>
  </si>
  <si>
    <t>蝴蝶餅可可燕麥那堤</t>
  </si>
  <si>
    <t>太妃核果風味那堤</t>
  </si>
  <si>
    <t>奶香蜂蜜甜梨風味那堤</t>
  </si>
  <si>
    <t>那堤</t>
  </si>
  <si>
    <t>芝麻瑪奇朵</t>
  </si>
  <si>
    <t>特選馥郁那堤</t>
  </si>
  <si>
    <t>馥列白</t>
  </si>
  <si>
    <t>可可瑪奇朵</t>
  </si>
  <si>
    <t>咖啡密斯朵</t>
  </si>
  <si>
    <t>每日精選咖啡</t>
  </si>
  <si>
    <t>經典紅茶那堤</t>
  </si>
  <si>
    <t>福吉茶那堤</t>
  </si>
  <si>
    <t>醇濃抹茶那堤</t>
  </si>
  <si>
    <t>伯爵茶那堤</t>
  </si>
  <si>
    <t>玫瑰蜜香茶那堤</t>
  </si>
  <si>
    <t>經典紅茶葛粉燕麥那堤</t>
  </si>
  <si>
    <t>奶香蜂蜜甜梨風味紅茶</t>
  </si>
  <si>
    <t>西印度櫻桃紅茶</t>
  </si>
  <si>
    <t>茶瓦納洋甘菊花草茶</t>
  </si>
  <si>
    <t>茶瓦納英式早餐紅茶(中杯)</t>
  </si>
  <si>
    <t>蜜柚紅茶</t>
  </si>
  <si>
    <t>阿里山烏龍茶(壺)</t>
  </si>
  <si>
    <t>冰搖紅茶</t>
  </si>
  <si>
    <t>冰搖檸檬果茶</t>
  </si>
  <si>
    <t>冰搖檸檬紅茶</t>
  </si>
  <si>
    <t>義式濃縮奶霜星冰樂</t>
  </si>
  <si>
    <t>咖啡星冰樂</t>
  </si>
  <si>
    <t>焦糖星冰樂</t>
  </si>
  <si>
    <t>摩卡可可碎片星冰樂</t>
  </si>
  <si>
    <t>焦糖可可碎片星冰樂</t>
  </si>
  <si>
    <t>福吉茶黑糖葛粉星冰樂</t>
  </si>
  <si>
    <t>巧克力可可碎片星冰樂</t>
  </si>
  <si>
    <t>醇濃抹茶星冰樂</t>
  </si>
  <si>
    <t>香草風味星冰樂</t>
  </si>
  <si>
    <t>雙果果汁星冰樂</t>
  </si>
  <si>
    <t>草莓巴西莓檸檬風味星沁爽</t>
  </si>
  <si>
    <t>草莓巴西莓椰奶風味星沁爽</t>
  </si>
  <si>
    <t>太妃核果風味冷萃咖啡</t>
  </si>
  <si>
    <t>冷萃咖啡</t>
  </si>
  <si>
    <t>經典特調冷萃咖啡</t>
  </si>
  <si>
    <t>香檸蜜柚冷萃咖啡</t>
  </si>
  <si>
    <t>夏日冰柚冷萃咖啡</t>
  </si>
  <si>
    <t>西印度櫻桃香檸冷萃</t>
  </si>
  <si>
    <t>太妃核果風味氮氣冷萃咖啡</t>
  </si>
  <si>
    <t>鹹焦糖風味氮氣歐蕾</t>
  </si>
  <si>
    <t>經典特調氮氣冷萃咖啡</t>
  </si>
  <si>
    <t>氮氣冷萃咖啡</t>
  </si>
  <si>
    <t>氮氣冷萃咖啡歐蕾</t>
  </si>
  <si>
    <t>經典巧克力</t>
  </si>
  <si>
    <t>冰經典巧克力</t>
  </si>
  <si>
    <t>義式焗烤牛肉千層</t>
    <phoneticPr fontId="2" type="noConversion"/>
  </si>
  <si>
    <t>單價</t>
  </si>
  <si>
    <t>摩斯吉士漢堡</t>
    <phoneticPr fontId="2" type="noConversion"/>
  </si>
  <si>
    <t>辣味摩斯漢堡</t>
    <phoneticPr fontId="2" type="noConversion"/>
  </si>
  <si>
    <t>辣味摩斯吉士漢堡</t>
    <phoneticPr fontId="2" type="noConversion"/>
  </si>
  <si>
    <t>摩斯鱈魚漢堡</t>
    <phoneticPr fontId="2" type="noConversion"/>
  </si>
  <si>
    <t>蜜汁烤雞堡</t>
    <phoneticPr fontId="2" type="noConversion"/>
  </si>
  <si>
    <t>蜜汁烤雞起司雞堡</t>
    <phoneticPr fontId="2" type="noConversion"/>
  </si>
  <si>
    <t>摩斯炸蝦堡</t>
    <phoneticPr fontId="2" type="noConversion"/>
  </si>
  <si>
    <t>摘鮮綠摩斯炸蝦堡</t>
    <phoneticPr fontId="2" type="noConversion"/>
  </si>
  <si>
    <t>摘鮮綠烤雞起司堡</t>
    <phoneticPr fontId="2" type="noConversion"/>
  </si>
  <si>
    <t>摘鮮綠元氣摩力堡</t>
    <phoneticPr fontId="2" type="noConversion"/>
  </si>
  <si>
    <t>輕檸雙牛堡</t>
    <phoneticPr fontId="2" type="noConversion"/>
  </si>
  <si>
    <t>和風蔬活牛肉堡</t>
    <phoneticPr fontId="2" type="noConversion"/>
  </si>
  <si>
    <t>超級大麥燒肉珍珠堡</t>
    <phoneticPr fontId="2" type="noConversion"/>
  </si>
  <si>
    <t>超級大麥薑燒珍珠堡</t>
    <phoneticPr fontId="2" type="noConversion"/>
  </si>
  <si>
    <t>超級大麥海洋珍珠堡</t>
    <phoneticPr fontId="2" type="noConversion"/>
  </si>
  <si>
    <t>超級大麥杏鮑菇珍珠堡</t>
    <phoneticPr fontId="2" type="noConversion"/>
  </si>
  <si>
    <t>超級大麥元氣牛肉珍珠堡</t>
    <phoneticPr fontId="2" type="noConversion"/>
  </si>
  <si>
    <t>超級大麥元氣摩力珍珠堡</t>
    <phoneticPr fontId="2" type="noConversion"/>
  </si>
  <si>
    <t>摩司熱狗堡</t>
    <phoneticPr fontId="2" type="noConversion"/>
  </si>
  <si>
    <t>辣味吉利熱狗堡</t>
    <phoneticPr fontId="2" type="noConversion"/>
  </si>
  <si>
    <t>黃金塔塔鱈魚堡</t>
    <phoneticPr fontId="2" type="noConversion"/>
  </si>
  <si>
    <t>元氣牛肉蛋堡</t>
    <phoneticPr fontId="2" type="noConversion"/>
  </si>
  <si>
    <t>培根雞蛋堡</t>
    <phoneticPr fontId="2" type="noConversion"/>
  </si>
  <si>
    <t>火腿歐姆蛋堡</t>
    <phoneticPr fontId="2" type="noConversion"/>
  </si>
  <si>
    <t>蕃茄吉士蛋堡</t>
    <phoneticPr fontId="2" type="noConversion"/>
  </si>
  <si>
    <t>摩斯豬排堡</t>
    <phoneticPr fontId="2" type="noConversion"/>
  </si>
  <si>
    <t>火腿蛋三明治</t>
    <phoneticPr fontId="2" type="noConversion"/>
  </si>
  <si>
    <t>日式豬排三明治</t>
    <phoneticPr fontId="2" type="noConversion"/>
  </si>
  <si>
    <t>雞肉三明治</t>
    <phoneticPr fontId="2" type="noConversion"/>
  </si>
  <si>
    <t>黃金蝦三明治(塔塔醬)</t>
    <phoneticPr fontId="2" type="noConversion"/>
  </si>
  <si>
    <t>點心類</t>
    <phoneticPr fontId="2" type="noConversion"/>
  </si>
  <si>
    <t>和風炸雞</t>
    <phoneticPr fontId="2" type="noConversion"/>
  </si>
  <si>
    <t>摩斯雞塊</t>
    <phoneticPr fontId="2" type="noConversion"/>
  </si>
  <si>
    <t>北海道可樂餅</t>
    <phoneticPr fontId="2" type="noConversion"/>
  </si>
  <si>
    <t>方塊薯餅</t>
    <phoneticPr fontId="2" type="noConversion"/>
  </si>
  <si>
    <t>薯條</t>
    <phoneticPr fontId="2" type="noConversion"/>
  </si>
  <si>
    <t>V型薯條</t>
    <phoneticPr fontId="2" type="noConversion"/>
  </si>
  <si>
    <t>黃金地瓜薯條</t>
    <phoneticPr fontId="2" type="noConversion"/>
  </si>
  <si>
    <t>雞肉地瓜總匯沙拉</t>
    <phoneticPr fontId="2" type="noConversion"/>
  </si>
  <si>
    <t>夏威夷元氣鮮蔬沙拉</t>
    <phoneticPr fontId="2" type="noConversion"/>
  </si>
  <si>
    <t>玉米濃湯</t>
    <phoneticPr fontId="2" type="noConversion"/>
  </si>
  <si>
    <t>鮮菇濃湯</t>
    <phoneticPr fontId="2" type="noConversion"/>
  </si>
  <si>
    <t>葡萄蒟蒻</t>
  </si>
  <si>
    <t>蜂蜜檸檬蒟蒻</t>
    <phoneticPr fontId="2" type="noConversion"/>
  </si>
  <si>
    <t>可樂(L)</t>
    <phoneticPr fontId="2" type="noConversion"/>
  </si>
  <si>
    <t>雪碧(L)</t>
    <phoneticPr fontId="2" type="noConversion"/>
  </si>
  <si>
    <t>犘斯蒟蒻冰紅茶(L)</t>
    <phoneticPr fontId="2" type="noConversion"/>
  </si>
  <si>
    <t>冰紅茶(M)</t>
    <phoneticPr fontId="2" type="noConversion"/>
  </si>
  <si>
    <t>冰紅茶(L)</t>
    <phoneticPr fontId="2" type="noConversion"/>
  </si>
  <si>
    <t>冰紅茶無糖(M)</t>
    <phoneticPr fontId="2" type="noConversion"/>
  </si>
  <si>
    <t>冰紅茶無糖(L)</t>
    <phoneticPr fontId="2" type="noConversion"/>
  </si>
  <si>
    <t>柚子冰茶(L)</t>
    <phoneticPr fontId="2" type="noConversion"/>
  </si>
  <si>
    <t>100%新鮮柳丁汁(M)</t>
    <phoneticPr fontId="2" type="noConversion"/>
  </si>
  <si>
    <t>摩斯抹茶歐蕾(冰)(M)</t>
    <phoneticPr fontId="2" type="noConversion"/>
  </si>
  <si>
    <t>柚子熱茶(M)</t>
    <phoneticPr fontId="2" type="noConversion"/>
  </si>
  <si>
    <t>摩斯熱可可(M)</t>
    <phoneticPr fontId="2" type="noConversion"/>
  </si>
  <si>
    <t>摩斯抹茶歐蕾(熱)(M)</t>
    <phoneticPr fontId="2" type="noConversion"/>
  </si>
  <si>
    <t>冰摩斯咖啡(M)</t>
    <phoneticPr fontId="2" type="noConversion"/>
  </si>
  <si>
    <t>冰摩斯咖啡(L)</t>
    <phoneticPr fontId="2" type="noConversion"/>
  </si>
  <si>
    <t>冰拿鐵咖啡(M)</t>
    <phoneticPr fontId="2" type="noConversion"/>
  </si>
  <si>
    <t>冰拿鐵咖啡(L)</t>
    <phoneticPr fontId="2" type="noConversion"/>
  </si>
  <si>
    <t>澳式冰歐蕾(M)</t>
    <phoneticPr fontId="2" type="noConversion"/>
  </si>
  <si>
    <t>摩斯經典奶茶(L)</t>
    <phoneticPr fontId="2" type="noConversion"/>
  </si>
  <si>
    <t>冰摩斯特調紅茶歐蕾(L)</t>
    <phoneticPr fontId="2" type="noConversion"/>
  </si>
  <si>
    <t>熱摩斯咖啡(M)</t>
    <phoneticPr fontId="2" type="noConversion"/>
  </si>
  <si>
    <t>熱摩斯咖啡(L)</t>
    <phoneticPr fontId="2" type="noConversion"/>
  </si>
  <si>
    <t>熱拿鐵咖啡(M)</t>
    <phoneticPr fontId="2" type="noConversion"/>
  </si>
  <si>
    <t>熱拿鐵咖啡(L)</t>
    <phoneticPr fontId="2" type="noConversion"/>
  </si>
  <si>
    <t>熱卡布奇諾(M)</t>
    <phoneticPr fontId="2" type="noConversion"/>
  </si>
  <si>
    <t>熱卡布奇諾(L)</t>
    <phoneticPr fontId="2" type="noConversion"/>
  </si>
  <si>
    <t>熱摩斯馥樂白(M)</t>
    <phoneticPr fontId="2" type="noConversion"/>
  </si>
  <si>
    <t>熱摩斯奶茶(M)</t>
    <phoneticPr fontId="2" type="noConversion"/>
  </si>
  <si>
    <t>火腿歐姆蛋布里歐堡</t>
    <phoneticPr fontId="2" type="noConversion"/>
  </si>
  <si>
    <t>蕃茄吉士蛋布里歐堡</t>
    <phoneticPr fontId="2" type="noConversion"/>
  </si>
  <si>
    <t>培根雞蛋布里歐堡</t>
    <phoneticPr fontId="2" type="noConversion"/>
  </si>
  <si>
    <t>松露起司薯條</t>
    <phoneticPr fontId="2" type="noConversion"/>
  </si>
  <si>
    <t>辣味和風雞腿塊</t>
    <phoneticPr fontId="2" type="noConversion"/>
  </si>
  <si>
    <t>紅心芭樂蒟蒻冰茶(L)</t>
    <phoneticPr fontId="2" type="noConversion"/>
  </si>
  <si>
    <t>紅心芭樂氣泡飲(L)</t>
    <phoneticPr fontId="2" type="noConversion"/>
  </si>
  <si>
    <t>葡萄蒟蒻冰茶(L)</t>
    <phoneticPr fontId="2" type="noConversion"/>
  </si>
  <si>
    <t>葡萄氣泡飲(L)</t>
    <phoneticPr fontId="2" type="noConversion"/>
  </si>
  <si>
    <t>冰榛果風味奶茶(L)</t>
    <phoneticPr fontId="2" type="noConversion"/>
  </si>
  <si>
    <t>熱榛果風味拿鐵咖啡(M)</t>
    <phoneticPr fontId="2" type="noConversion"/>
  </si>
  <si>
    <t>冰榛果風味拿鐵咖啡(M)</t>
    <phoneticPr fontId="2" type="noConversion"/>
  </si>
  <si>
    <t>抹茶紅豆米派</t>
    <phoneticPr fontId="2" type="noConversion"/>
  </si>
  <si>
    <t>布列塔尼米酥餅</t>
    <phoneticPr fontId="2" type="noConversion"/>
  </si>
  <si>
    <t>MOS巴斯克乳酪蛋糕</t>
    <phoneticPr fontId="2" type="noConversion"/>
  </si>
  <si>
    <t>熱量</t>
    <phoneticPr fontId="2" type="noConversion"/>
  </si>
  <si>
    <t>經典可朗芙</t>
    <phoneticPr fontId="2" type="noConversion"/>
  </si>
  <si>
    <t>花醬可朗芙</t>
    <phoneticPr fontId="2" type="noConversion"/>
  </si>
  <si>
    <t>鮪魚玉米可朗芙</t>
    <phoneticPr fontId="2" type="noConversion"/>
  </si>
  <si>
    <t>蜂蜜芥末卡啦雞可朗芙</t>
    <phoneticPr fontId="2" type="noConversion"/>
  </si>
  <si>
    <t>鮪魚吐司</t>
    <phoneticPr fontId="2" type="noConversion"/>
  </si>
  <si>
    <t>里肌豬排吐司</t>
    <phoneticPr fontId="2" type="noConversion"/>
  </si>
  <si>
    <t>花生吐司</t>
    <phoneticPr fontId="2" type="noConversion"/>
  </si>
  <si>
    <t>鮪魚蛋餅</t>
    <phoneticPr fontId="2" type="noConversion"/>
  </si>
  <si>
    <t>原味蛋餅</t>
    <phoneticPr fontId="2" type="noConversion"/>
  </si>
  <si>
    <t>100%肉鬆蛋餅</t>
    <phoneticPr fontId="2" type="noConversion"/>
  </si>
  <si>
    <t>牛肉起士漢堡</t>
    <phoneticPr fontId="2" type="noConversion"/>
  </si>
  <si>
    <t>卡啦雞腿漢堡</t>
    <phoneticPr fontId="2" type="noConversion"/>
  </si>
  <si>
    <t>麥香雞漢堡</t>
    <phoneticPr fontId="2" type="noConversion"/>
  </si>
  <si>
    <t>里肌豬排堡</t>
    <phoneticPr fontId="2" type="noConversion"/>
  </si>
  <si>
    <t>黑胡椒鐵板麵</t>
    <phoneticPr fontId="2" type="noConversion"/>
  </si>
  <si>
    <t>蘑菇麵鐵板麵</t>
    <phoneticPr fontId="2" type="noConversion"/>
  </si>
  <si>
    <t>沙茶麵鐵板麵</t>
  </si>
  <si>
    <t>美式黑咖啡</t>
    <phoneticPr fontId="2" type="noConversion"/>
  </si>
  <si>
    <t>拿鐵咖啡</t>
    <phoneticPr fontId="2" type="noConversion"/>
  </si>
  <si>
    <t>招牌奶茶</t>
    <phoneticPr fontId="2" type="noConversion"/>
  </si>
  <si>
    <t>柳橙汁</t>
    <phoneticPr fontId="2" type="noConversion"/>
  </si>
  <si>
    <t>鮮奶茶</t>
    <phoneticPr fontId="2" type="noConversion"/>
  </si>
  <si>
    <t>Qburger</t>
    <phoneticPr fontId="2" type="noConversion"/>
  </si>
  <si>
    <t>其他</t>
    <phoneticPr fontId="2" type="noConversion"/>
  </si>
  <si>
    <t>加總</t>
    <phoneticPr fontId="2" type="noConversion"/>
  </si>
  <si>
    <t>總體評估</t>
    <phoneticPr fontId="2" type="noConversion"/>
  </si>
  <si>
    <t>每日預算</t>
    <phoneticPr fontId="2" type="noConversion"/>
  </si>
  <si>
    <t>小公寓</t>
  </si>
  <si>
    <t>晚餐</t>
  </si>
  <si>
    <t>午餐</t>
  </si>
  <si>
    <t>星巴克</t>
  </si>
  <si>
    <t>點心</t>
  </si>
  <si>
    <t>Qburger</t>
  </si>
  <si>
    <t>1.飽足感可能不足</t>
  </si>
  <si>
    <t>4.幸福感較為缺乏</t>
  </si>
  <si>
    <t>路易莎</t>
  </si>
  <si>
    <t>岩燒黃金乳酪派</t>
  </si>
  <si>
    <t>鮪魚吐司</t>
  </si>
  <si>
    <t>焦糖核桃咖啡派</t>
  </si>
  <si>
    <t>熱量Kcal</t>
    <phoneticPr fontId="2" type="noConversion"/>
  </si>
  <si>
    <t>價格NTD</t>
    <phoneticPr fontId="2" type="noConversion"/>
  </si>
  <si>
    <t>日期</t>
    <phoneticPr fontId="2" type="noConversion"/>
  </si>
  <si>
    <t/>
  </si>
  <si>
    <t>預算</t>
    <phoneticPr fontId="2" type="noConversion"/>
  </si>
  <si>
    <t>福勝亭</t>
  </si>
  <si>
    <t>黃金魚排定食</t>
  </si>
  <si>
    <t>摩斯漢堡</t>
  </si>
  <si>
    <t>辣味摩斯吉士漢堡</t>
  </si>
  <si>
    <t>麥味登</t>
  </si>
  <si>
    <t>巧克力蛋糕</t>
    <phoneticPr fontId="2" type="noConversion"/>
  </si>
  <si>
    <t>其他</t>
  </si>
  <si>
    <t>松露野菇義大利麵</t>
    <phoneticPr fontId="2" type="noConversion"/>
  </si>
  <si>
    <t>蜂蜜鬆餅</t>
    <phoneticPr fontId="2" type="noConversion"/>
  </si>
  <si>
    <t>冰淇淋</t>
    <phoneticPr fontId="2" type="noConversion"/>
  </si>
  <si>
    <t>章魚燒</t>
    <phoneticPr fontId="2" type="noConversion"/>
  </si>
  <si>
    <t>西堤吃大餐</t>
    <phoneticPr fontId="2" type="noConversion"/>
  </si>
  <si>
    <t>麥當勞</t>
  </si>
  <si>
    <t>老街點心</t>
    <phoneticPr fontId="2" type="noConversion"/>
  </si>
  <si>
    <t>生酮伯爵茶乳酪捲</t>
  </si>
  <si>
    <t>提拉米蘇布丁</t>
  </si>
  <si>
    <t>摩斯吉士漢堡</t>
  </si>
  <si>
    <t>和風咖哩豬排定食</t>
  </si>
  <si>
    <t>植物肉排瑪芬堡</t>
  </si>
  <si>
    <t>香酥炸腰內肉定食</t>
  </si>
  <si>
    <t>摩斯鱈魚漢堡</t>
  </si>
  <si>
    <t>鮪魚玉米可朗芙</t>
  </si>
  <si>
    <t>鮮嫩炸雞柳定食</t>
  </si>
  <si>
    <t>元氣牛肉蛋堡</t>
  </si>
  <si>
    <t>生酮乳酪捲</t>
  </si>
  <si>
    <t>V型薯條</t>
  </si>
  <si>
    <t>雙層四盎司牛肉堡</t>
  </si>
  <si>
    <t>大阪燒豬排定食</t>
  </si>
  <si>
    <t>雙層麥香鷄</t>
  </si>
  <si>
    <t>巧克力司康</t>
  </si>
  <si>
    <t>綜合堅果塔</t>
  </si>
  <si>
    <t>棉花糖巧克力餅乾</t>
  </si>
  <si>
    <t>雙層牛肉吉事堡</t>
  </si>
  <si>
    <t>2.攝取熱量不足</t>
  </si>
  <si>
    <t>3.花費正常</t>
  </si>
  <si>
    <t>列標籤</t>
  </si>
  <si>
    <t>總計</t>
  </si>
  <si>
    <t>計數 - 日期</t>
  </si>
  <si>
    <t>光顧店家次數</t>
    <phoneticPr fontId="2" type="noConversion"/>
  </si>
  <si>
    <t>加總 - 熱量Kcal</t>
  </si>
  <si>
    <t>加總 - 價格</t>
  </si>
  <si>
    <t>加總 - 價格NTD</t>
  </si>
  <si>
    <t>加總 - 熱量</t>
  </si>
  <si>
    <t>在各店家花的錢</t>
    <phoneticPr fontId="2" type="noConversion"/>
  </si>
  <si>
    <t>平均值 - 換算幸福感</t>
  </si>
  <si>
    <t>各店家帶來的幸福感</t>
    <phoneticPr fontId="2" type="noConversion"/>
  </si>
  <si>
    <t>平均值 - 美味度</t>
  </si>
  <si>
    <t>平均值 - 飽足感</t>
  </si>
  <si>
    <t>各店家平均獲得的美味度與飽足感</t>
    <phoneticPr fontId="2" type="noConversion"/>
  </si>
  <si>
    <t>平均值 - 價格NTD</t>
  </si>
  <si>
    <t>各項分析</t>
    <phoneticPr fontId="2" type="noConversion"/>
  </si>
  <si>
    <t>在各店家獲得的熱量</t>
    <phoneticPr fontId="2" type="noConversion"/>
  </si>
  <si>
    <t>摘鮮綠摩斯炸蝦堡</t>
  </si>
  <si>
    <t>滷味</t>
    <phoneticPr fontId="2" type="noConversion"/>
  </si>
  <si>
    <t>1.應注意飲食控制</t>
    <phoneticPr fontId="2" type="noConversion"/>
  </si>
  <si>
    <t>2.攝取熱量適中</t>
    <phoneticPr fontId="2" type="noConversion"/>
  </si>
  <si>
    <t>開運卡茲豬排定食</t>
  </si>
  <si>
    <t>3.注意花費管控</t>
    <phoneticPr fontId="2" type="noConversion"/>
  </si>
  <si>
    <t>4.幸福指數正常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</si>
</sst>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"/>
    <numFmt numFmtId="177" formatCode="0_);[Red]\(0\)"/>
  </numFmts>
  <fonts count="30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b/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231F20"/>
      <name val="新細明體"/>
      <family val="1"/>
      <charset val="136"/>
      <scheme val="minor"/>
    </font>
    <font>
      <sz val="12"/>
      <color theme="1"/>
      <name val="BIZ UDGothic"/>
      <family val="2"/>
      <charset val="128"/>
    </font>
    <font>
      <i/>
      <sz val="12"/>
      <color theme="1"/>
      <name val="BIZ UDGothic"/>
      <family val="2"/>
      <charset val="128"/>
    </font>
    <font>
      <b/>
      <sz val="12"/>
      <color theme="1"/>
      <name val="BIZ UDGothic"/>
      <family val="2"/>
      <charset val="128"/>
    </font>
    <font>
      <sz val="12"/>
      <color theme="1"/>
      <name val="微軟正黑體 Light"/>
      <family val="2"/>
      <charset val="136"/>
    </font>
    <font>
      <sz val="12"/>
      <color rgb="FF000000"/>
      <name val="新細明體"/>
      <family val="1"/>
      <charset val="136"/>
    </font>
    <font>
      <sz val="10"/>
      <name val="BIZ UDGothic"/>
      <family val="2"/>
      <charset val="128"/>
    </font>
    <font>
      <sz val="10"/>
      <color theme="1"/>
      <name val="BIZ UDGothic"/>
      <family val="2"/>
      <charset val="128"/>
    </font>
    <font>
      <b/>
      <sz val="12"/>
      <color rgb="FFFF0000"/>
      <name val="新細明體"/>
      <family val="1"/>
      <charset val="136"/>
      <scheme val="minor"/>
    </font>
    <font>
      <b/>
      <sz val="12"/>
      <color theme="4"/>
      <name val="微軟正黑體 Light"/>
      <family val="2"/>
      <charset val="136"/>
    </font>
    <font>
      <b/>
      <i/>
      <sz val="12"/>
      <name val="微軟正黑體 Light"/>
      <family val="2"/>
      <charset val="136"/>
    </font>
    <font>
      <b/>
      <sz val="12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i/>
      <sz val="12"/>
      <color theme="1"/>
      <name val="標楷體"/>
      <family val="4"/>
      <charset val="136"/>
    </font>
    <font>
      <sz val="10"/>
      <name val="標楷體"/>
      <family val="4"/>
      <charset val="136"/>
    </font>
    <font>
      <sz val="10"/>
      <color theme="1"/>
      <name val="標楷體"/>
      <family val="4"/>
      <charset val="136"/>
    </font>
    <font>
      <b/>
      <sz val="12"/>
      <color rgb="FFFF0000"/>
      <name val="標楷體"/>
      <family val="4"/>
      <charset val="136"/>
    </font>
    <font>
      <b/>
      <i/>
      <sz val="12"/>
      <name val="標楷體"/>
      <family val="4"/>
      <charset val="136"/>
    </font>
    <font>
      <sz val="12"/>
      <name val="標楷體"/>
      <family val="4"/>
      <charset val="136"/>
    </font>
    <font>
      <b/>
      <sz val="12"/>
      <color theme="9" tint="-0.249977111117893"/>
      <name val="標楷體"/>
      <family val="4"/>
      <charset val="136"/>
    </font>
    <font>
      <b/>
      <sz val="12"/>
      <color theme="9" tint="-0.499984740745262"/>
      <name val="標楷體"/>
      <family val="4"/>
      <charset val="136"/>
    </font>
    <font>
      <sz val="12"/>
      <color theme="0"/>
      <name val="BIZ UDGothic"/>
      <family val="2"/>
      <charset val="128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indexed="64"/>
      </top>
      <bottom style="thin">
        <color indexed="64"/>
      </bottom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0" fontId="0" fillId="2" borderId="1" xfId="1" applyFont="1" applyBorder="1" applyAlignment="1">
      <alignment horizontal="center" vertical="center"/>
    </xf>
    <xf numFmtId="0" fontId="0" fillId="2" borderId="2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5" borderId="2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 vertical="center"/>
    </xf>
    <xf numFmtId="1" fontId="7" fillId="0" borderId="0" xfId="0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 wrapText="1"/>
    </xf>
    <xf numFmtId="1" fontId="7" fillId="0" borderId="0" xfId="0" applyNumberFormat="1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3" fillId="10" borderId="4" xfId="0" applyFont="1" applyFill="1" applyBorder="1" applyAlignment="1">
      <alignment horizontal="center" vertical="center"/>
    </xf>
    <xf numFmtId="0" fontId="3" fillId="10" borderId="5" xfId="0" applyFont="1" applyFill="1" applyBorder="1" applyAlignment="1">
      <alignment horizontal="center" vertical="center"/>
    </xf>
    <xf numFmtId="0" fontId="0" fillId="0" borderId="6" xfId="0" applyBorder="1">
      <alignment vertical="center"/>
    </xf>
    <xf numFmtId="0" fontId="5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9" fillId="0" borderId="0" xfId="0" applyFont="1">
      <alignment vertical="center"/>
    </xf>
    <xf numFmtId="0" fontId="9" fillId="0" borderId="3" xfId="0" applyFont="1" applyBorder="1">
      <alignment vertical="center"/>
    </xf>
    <xf numFmtId="0" fontId="10" fillId="0" borderId="0" xfId="0" applyFont="1">
      <alignment vertical="center"/>
    </xf>
    <xf numFmtId="0" fontId="10" fillId="0" borderId="3" xfId="0" applyFont="1" applyBorder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2" fillId="0" borderId="3" xfId="0" applyFont="1" applyBorder="1">
      <alignment vertical="center"/>
    </xf>
    <xf numFmtId="0" fontId="14" fillId="0" borderId="0" xfId="0" applyFont="1">
      <alignment vertical="center"/>
    </xf>
    <xf numFmtId="0" fontId="14" fillId="0" borderId="3" xfId="0" applyFont="1" applyBorder="1">
      <alignment vertical="center"/>
    </xf>
    <xf numFmtId="0" fontId="15" fillId="0" borderId="0" xfId="0" applyFont="1">
      <alignment vertical="center"/>
    </xf>
    <xf numFmtId="0" fontId="15" fillId="0" borderId="3" xfId="0" applyFont="1" applyBorder="1">
      <alignment vertical="center"/>
    </xf>
    <xf numFmtId="0" fontId="16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3" fillId="11" borderId="5" xfId="0" applyFont="1" applyFill="1" applyBorder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8" fillId="11" borderId="8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9" fillId="6" borderId="0" xfId="0" applyFont="1" applyFill="1" applyBorder="1" applyAlignment="1">
      <alignment horizontal="center" vertical="center"/>
    </xf>
    <xf numFmtId="0" fontId="20" fillId="0" borderId="0" xfId="0" applyFont="1">
      <alignment vertical="center"/>
    </xf>
    <xf numFmtId="176" fontId="20" fillId="0" borderId="0" xfId="0" applyNumberFormat="1" applyFont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0" fillId="0" borderId="3" xfId="0" applyFont="1" applyBorder="1">
      <alignment vertical="center"/>
    </xf>
    <xf numFmtId="0" fontId="22" fillId="0" borderId="3" xfId="0" applyFont="1" applyBorder="1">
      <alignment vertical="center"/>
    </xf>
    <xf numFmtId="0" fontId="21" fillId="0" borderId="3" xfId="0" applyFont="1" applyBorder="1">
      <alignment vertical="center"/>
    </xf>
    <xf numFmtId="0" fontId="23" fillId="0" borderId="3" xfId="0" applyFont="1" applyBorder="1">
      <alignment vertical="center"/>
    </xf>
    <xf numFmtId="0" fontId="20" fillId="0" borderId="3" xfId="0" applyFont="1" applyBorder="1" applyAlignment="1">
      <alignment horizontal="center" vertical="center"/>
    </xf>
    <xf numFmtId="0" fontId="24" fillId="0" borderId="3" xfId="0" applyFont="1" applyBorder="1" applyAlignment="1">
      <alignment horizontal="left" vertical="center"/>
    </xf>
    <xf numFmtId="0" fontId="19" fillId="0" borderId="0" xfId="0" applyFont="1">
      <alignment vertical="center"/>
    </xf>
    <xf numFmtId="0" fontId="20" fillId="0" borderId="9" xfId="0" applyFont="1" applyBorder="1" applyAlignment="1">
      <alignment horizontal="center" vertical="center"/>
    </xf>
    <xf numFmtId="0" fontId="20" fillId="0" borderId="6" xfId="0" applyFont="1" applyBorder="1">
      <alignment vertical="center"/>
    </xf>
    <xf numFmtId="176" fontId="20" fillId="0" borderId="3" xfId="0" applyNumberFormat="1" applyFont="1" applyBorder="1">
      <alignment vertical="center"/>
    </xf>
    <xf numFmtId="177" fontId="26" fillId="4" borderId="0" xfId="0" applyNumberFormat="1" applyFont="1" applyFill="1">
      <alignment vertical="center"/>
    </xf>
    <xf numFmtId="177" fontId="19" fillId="0" borderId="0" xfId="0" applyNumberFormat="1" applyFont="1">
      <alignment vertical="center"/>
    </xf>
    <xf numFmtId="177" fontId="20" fillId="0" borderId="0" xfId="0" applyNumberFormat="1" applyFont="1">
      <alignment vertical="center"/>
    </xf>
    <xf numFmtId="0" fontId="25" fillId="9" borderId="8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29" fillId="0" borderId="0" xfId="0" applyFont="1">
      <alignment vertical="center"/>
    </xf>
  </cellXfs>
  <cellStyles count="2">
    <cellStyle name="20% - 輔色4" xfId="1" builtinId="42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1/relationships/timelineCache" Target="timelineCaches/timelineCache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11/relationships/timelineCache" Target="timelineCaches/timelineCache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1/relationships/timelineCache" Target="timelineCaches/timelineCache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1/relationships/timelineCache" Target="timelineCaches/timelineCache5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1/relationships/timelineCache" Target="timelineCaches/timelineCache4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[第二組 美食沙漠的幸福感從哪來.xlsm]各項分析!樞紐分析表8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各項分析!$B$3</c:f>
              <c:strCache>
                <c:ptCount val="1"/>
                <c:pt idx="0">
                  <c:v>平均值 - 換算幸福感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各項分析!$A$4:$A$12</c:f>
              <c:strCache>
                <c:ptCount val="8"/>
                <c:pt idx="0">
                  <c:v>Qburger</c:v>
                </c:pt>
                <c:pt idx="1">
                  <c:v>小公寓</c:v>
                </c:pt>
                <c:pt idx="2">
                  <c:v>星巴克</c:v>
                </c:pt>
                <c:pt idx="3">
                  <c:v>麥味登</c:v>
                </c:pt>
                <c:pt idx="4">
                  <c:v>麥當勞</c:v>
                </c:pt>
                <c:pt idx="5">
                  <c:v>路易莎</c:v>
                </c:pt>
                <c:pt idx="6">
                  <c:v>福勝亭</c:v>
                </c:pt>
                <c:pt idx="7">
                  <c:v>摩斯漢堡</c:v>
                </c:pt>
              </c:strCache>
            </c:strRef>
          </c:cat>
          <c:val>
            <c:numRef>
              <c:f>各項分析!$B$4:$B$12</c:f>
              <c:numCache>
                <c:formatCode>General</c:formatCode>
                <c:ptCount val="8"/>
                <c:pt idx="0">
                  <c:v>68.400000000000006</c:v>
                </c:pt>
                <c:pt idx="1">
                  <c:v>54.375</c:v>
                </c:pt>
                <c:pt idx="2">
                  <c:v>55.428571428571431</c:v>
                </c:pt>
                <c:pt idx="3">
                  <c:v>61</c:v>
                </c:pt>
                <c:pt idx="4">
                  <c:v>88.333333333333329</c:v>
                </c:pt>
                <c:pt idx="5">
                  <c:v>43.571428571428569</c:v>
                </c:pt>
                <c:pt idx="6">
                  <c:v>107.85714285714286</c:v>
                </c:pt>
                <c:pt idx="7">
                  <c:v>76.714285714285708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7-4079-A4EF-80C5D7365DDA}"/>
            </c:ext>
          </c:extLst>
        </c:ser>
        <c:ser>
          <c:idx val="1"/>
          <c:order val="1"/>
          <c:tx>
            <c:strRef>
              <c:f>各項分析!$C$3</c:f>
              <c:strCache>
                <c:ptCount val="1"/>
                <c:pt idx="0">
                  <c:v>平均值 - 美味度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各項分析!$A$4:$A$12</c:f>
              <c:strCache>
                <c:ptCount val="8"/>
                <c:pt idx="0">
                  <c:v>Qburger</c:v>
                </c:pt>
                <c:pt idx="1">
                  <c:v>小公寓</c:v>
                </c:pt>
                <c:pt idx="2">
                  <c:v>星巴克</c:v>
                </c:pt>
                <c:pt idx="3">
                  <c:v>麥味登</c:v>
                </c:pt>
                <c:pt idx="4">
                  <c:v>麥當勞</c:v>
                </c:pt>
                <c:pt idx="5">
                  <c:v>路易莎</c:v>
                </c:pt>
                <c:pt idx="6">
                  <c:v>福勝亭</c:v>
                </c:pt>
                <c:pt idx="7">
                  <c:v>摩斯漢堡</c:v>
                </c:pt>
              </c:strCache>
            </c:strRef>
          </c:cat>
          <c:val>
            <c:numRef>
              <c:f>各項分析!$C$4:$C$12</c:f>
              <c:numCache>
                <c:formatCode>General</c:formatCode>
                <c:ptCount val="8"/>
                <c:pt idx="0">
                  <c:v>78.400000000000006</c:v>
                </c:pt>
                <c:pt idx="1">
                  <c:v>81.25</c:v>
                </c:pt>
                <c:pt idx="2">
                  <c:v>83.714285714285708</c:v>
                </c:pt>
                <c:pt idx="3">
                  <c:v>73.5</c:v>
                </c:pt>
                <c:pt idx="4">
                  <c:v>90.333333333333329</c:v>
                </c:pt>
                <c:pt idx="5">
                  <c:v>75.428571428571431</c:v>
                </c:pt>
                <c:pt idx="6">
                  <c:v>90.571428571428569</c:v>
                </c:pt>
                <c:pt idx="7">
                  <c:v>77.714285714285708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7-4079-A4EF-80C5D7365DDA}"/>
            </c:ext>
          </c:extLst>
        </c:ser>
        <c:ser>
          <c:idx val="2"/>
          <c:order val="2"/>
          <c:tx>
            <c:strRef>
              <c:f>各項分析!$D$3</c:f>
              <c:strCache>
                <c:ptCount val="1"/>
                <c:pt idx="0">
                  <c:v>平均值 - 飽足感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各項分析!$A$4:$A$12</c:f>
              <c:strCache>
                <c:ptCount val="8"/>
                <c:pt idx="0">
                  <c:v>Qburger</c:v>
                </c:pt>
                <c:pt idx="1">
                  <c:v>小公寓</c:v>
                </c:pt>
                <c:pt idx="2">
                  <c:v>星巴克</c:v>
                </c:pt>
                <c:pt idx="3">
                  <c:v>麥味登</c:v>
                </c:pt>
                <c:pt idx="4">
                  <c:v>麥當勞</c:v>
                </c:pt>
                <c:pt idx="5">
                  <c:v>路易莎</c:v>
                </c:pt>
                <c:pt idx="6">
                  <c:v>福勝亭</c:v>
                </c:pt>
                <c:pt idx="7">
                  <c:v>摩斯漢堡</c:v>
                </c:pt>
              </c:strCache>
            </c:strRef>
          </c:cat>
          <c:val>
            <c:numRef>
              <c:f>各項分析!$D$4:$D$12</c:f>
              <c:numCache>
                <c:formatCode>General</c:formatCode>
                <c:ptCount val="8"/>
                <c:pt idx="0">
                  <c:v>82</c:v>
                </c:pt>
                <c:pt idx="1">
                  <c:v>88.625</c:v>
                </c:pt>
                <c:pt idx="2">
                  <c:v>90.571428571428569</c:v>
                </c:pt>
                <c:pt idx="3">
                  <c:v>79</c:v>
                </c:pt>
                <c:pt idx="4">
                  <c:v>81.666666666666671</c:v>
                </c:pt>
                <c:pt idx="5">
                  <c:v>86</c:v>
                </c:pt>
                <c:pt idx="6">
                  <c:v>84.428571428571431</c:v>
                </c:pt>
                <c:pt idx="7">
                  <c:v>87.285714285714292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57-4079-A4EF-80C5D7365DDA}"/>
            </c:ext>
          </c:extLst>
        </c:ser>
        <c:ser>
          <c:idx val="3"/>
          <c:order val="3"/>
          <c:tx>
            <c:strRef>
              <c:f>各項分析!$E$3</c:f>
              <c:strCache>
                <c:ptCount val="1"/>
                <c:pt idx="0">
                  <c:v>平均值 - 價格NTD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各項分析!$A$4:$A$12</c:f>
              <c:strCache>
                <c:ptCount val="8"/>
                <c:pt idx="0">
                  <c:v>Qburger</c:v>
                </c:pt>
                <c:pt idx="1">
                  <c:v>小公寓</c:v>
                </c:pt>
                <c:pt idx="2">
                  <c:v>星巴克</c:v>
                </c:pt>
                <c:pt idx="3">
                  <c:v>麥味登</c:v>
                </c:pt>
                <c:pt idx="4">
                  <c:v>麥當勞</c:v>
                </c:pt>
                <c:pt idx="5">
                  <c:v>路易莎</c:v>
                </c:pt>
                <c:pt idx="6">
                  <c:v>福勝亭</c:v>
                </c:pt>
                <c:pt idx="7">
                  <c:v>摩斯漢堡</c:v>
                </c:pt>
              </c:strCache>
            </c:strRef>
          </c:cat>
          <c:val>
            <c:numRef>
              <c:f>各項分析!$E$4:$E$12</c:f>
              <c:numCache>
                <c:formatCode>General</c:formatCode>
                <c:ptCount val="8"/>
                <c:pt idx="0">
                  <c:v>56</c:v>
                </c:pt>
                <c:pt idx="1">
                  <c:v>207.5</c:v>
                </c:pt>
                <c:pt idx="2">
                  <c:v>58.285714285714285</c:v>
                </c:pt>
                <c:pt idx="3">
                  <c:v>74.166666666666671</c:v>
                </c:pt>
                <c:pt idx="4">
                  <c:v>96.333333333333329</c:v>
                </c:pt>
                <c:pt idx="5">
                  <c:v>75</c:v>
                </c:pt>
                <c:pt idx="6">
                  <c:v>215.71428571428572</c:v>
                </c:pt>
                <c:pt idx="7">
                  <c:v>71.428571428571431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57-4079-A4EF-80C5D7365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7255471"/>
        <c:axId val="1217256719"/>
      </c:lineChart>
      <c:catAx>
        <c:axId val="1217255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17256719"/>
        <c:crosses val="autoZero"/>
        <c:auto val="1"/>
        <c:lblAlgn val="ctr"/>
        <c:lblOffset val="100"/>
        <c:noMultiLvlLbl val="0"/>
      </c:catAx>
      <c:valAx>
        <c:axId val="121725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17255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[第二組 美食沙漠的幸福感從哪來.xlsm]各項分析!樞紐分析表8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各項分析!$B$3</c:f>
              <c:strCache>
                <c:ptCount val="1"/>
                <c:pt idx="0">
                  <c:v>平均值 - 換算幸福感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各項分析!$A$4:$A$12</c:f>
              <c:strCache>
                <c:ptCount val="8"/>
                <c:pt idx="0">
                  <c:v>Qburger</c:v>
                </c:pt>
                <c:pt idx="1">
                  <c:v>小公寓</c:v>
                </c:pt>
                <c:pt idx="2">
                  <c:v>星巴克</c:v>
                </c:pt>
                <c:pt idx="3">
                  <c:v>麥味登</c:v>
                </c:pt>
                <c:pt idx="4">
                  <c:v>麥當勞</c:v>
                </c:pt>
                <c:pt idx="5">
                  <c:v>路易莎</c:v>
                </c:pt>
                <c:pt idx="6">
                  <c:v>福勝亭</c:v>
                </c:pt>
                <c:pt idx="7">
                  <c:v>摩斯漢堡</c:v>
                </c:pt>
              </c:strCache>
            </c:strRef>
          </c:cat>
          <c:val>
            <c:numRef>
              <c:f>各項分析!$B$4:$B$12</c:f>
              <c:numCache>
                <c:formatCode>General</c:formatCode>
                <c:ptCount val="8"/>
                <c:pt idx="0">
                  <c:v>68.400000000000006</c:v>
                </c:pt>
                <c:pt idx="1">
                  <c:v>54.375</c:v>
                </c:pt>
                <c:pt idx="2">
                  <c:v>55.428571428571431</c:v>
                </c:pt>
                <c:pt idx="3">
                  <c:v>61</c:v>
                </c:pt>
                <c:pt idx="4">
                  <c:v>88.333333333333329</c:v>
                </c:pt>
                <c:pt idx="5">
                  <c:v>43.571428571428569</c:v>
                </c:pt>
                <c:pt idx="6">
                  <c:v>107.85714285714286</c:v>
                </c:pt>
                <c:pt idx="7">
                  <c:v>76.714285714285708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1D-4C8D-A6AC-FAF5868C438A}"/>
            </c:ext>
          </c:extLst>
        </c:ser>
        <c:ser>
          <c:idx val="1"/>
          <c:order val="1"/>
          <c:tx>
            <c:strRef>
              <c:f>各項分析!$C$3</c:f>
              <c:strCache>
                <c:ptCount val="1"/>
                <c:pt idx="0">
                  <c:v>平均值 - 美味度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各項分析!$A$4:$A$12</c:f>
              <c:strCache>
                <c:ptCount val="8"/>
                <c:pt idx="0">
                  <c:v>Qburger</c:v>
                </c:pt>
                <c:pt idx="1">
                  <c:v>小公寓</c:v>
                </c:pt>
                <c:pt idx="2">
                  <c:v>星巴克</c:v>
                </c:pt>
                <c:pt idx="3">
                  <c:v>麥味登</c:v>
                </c:pt>
                <c:pt idx="4">
                  <c:v>麥當勞</c:v>
                </c:pt>
                <c:pt idx="5">
                  <c:v>路易莎</c:v>
                </c:pt>
                <c:pt idx="6">
                  <c:v>福勝亭</c:v>
                </c:pt>
                <c:pt idx="7">
                  <c:v>摩斯漢堡</c:v>
                </c:pt>
              </c:strCache>
            </c:strRef>
          </c:cat>
          <c:val>
            <c:numRef>
              <c:f>各項分析!$C$4:$C$12</c:f>
              <c:numCache>
                <c:formatCode>General</c:formatCode>
                <c:ptCount val="8"/>
                <c:pt idx="0">
                  <c:v>78.400000000000006</c:v>
                </c:pt>
                <c:pt idx="1">
                  <c:v>81.25</c:v>
                </c:pt>
                <c:pt idx="2">
                  <c:v>83.714285714285708</c:v>
                </c:pt>
                <c:pt idx="3">
                  <c:v>73.5</c:v>
                </c:pt>
                <c:pt idx="4">
                  <c:v>90.333333333333329</c:v>
                </c:pt>
                <c:pt idx="5">
                  <c:v>75.428571428571431</c:v>
                </c:pt>
                <c:pt idx="6">
                  <c:v>90.571428571428569</c:v>
                </c:pt>
                <c:pt idx="7">
                  <c:v>77.714285714285708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1D-4C8D-A6AC-FAF5868C438A}"/>
            </c:ext>
          </c:extLst>
        </c:ser>
        <c:ser>
          <c:idx val="2"/>
          <c:order val="2"/>
          <c:tx>
            <c:strRef>
              <c:f>各項分析!$D$3</c:f>
              <c:strCache>
                <c:ptCount val="1"/>
                <c:pt idx="0">
                  <c:v>平均值 - 飽足感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各項分析!$A$4:$A$12</c:f>
              <c:strCache>
                <c:ptCount val="8"/>
                <c:pt idx="0">
                  <c:v>Qburger</c:v>
                </c:pt>
                <c:pt idx="1">
                  <c:v>小公寓</c:v>
                </c:pt>
                <c:pt idx="2">
                  <c:v>星巴克</c:v>
                </c:pt>
                <c:pt idx="3">
                  <c:v>麥味登</c:v>
                </c:pt>
                <c:pt idx="4">
                  <c:v>麥當勞</c:v>
                </c:pt>
                <c:pt idx="5">
                  <c:v>路易莎</c:v>
                </c:pt>
                <c:pt idx="6">
                  <c:v>福勝亭</c:v>
                </c:pt>
                <c:pt idx="7">
                  <c:v>摩斯漢堡</c:v>
                </c:pt>
              </c:strCache>
            </c:strRef>
          </c:cat>
          <c:val>
            <c:numRef>
              <c:f>各項分析!$D$4:$D$12</c:f>
              <c:numCache>
                <c:formatCode>General</c:formatCode>
                <c:ptCount val="8"/>
                <c:pt idx="0">
                  <c:v>82</c:v>
                </c:pt>
                <c:pt idx="1">
                  <c:v>88.625</c:v>
                </c:pt>
                <c:pt idx="2">
                  <c:v>90.571428571428569</c:v>
                </c:pt>
                <c:pt idx="3">
                  <c:v>79</c:v>
                </c:pt>
                <c:pt idx="4">
                  <c:v>81.666666666666671</c:v>
                </c:pt>
                <c:pt idx="5">
                  <c:v>86</c:v>
                </c:pt>
                <c:pt idx="6">
                  <c:v>84.428571428571431</c:v>
                </c:pt>
                <c:pt idx="7">
                  <c:v>87.285714285714292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1D-4C8D-A6AC-FAF5868C438A}"/>
            </c:ext>
          </c:extLst>
        </c:ser>
        <c:ser>
          <c:idx val="3"/>
          <c:order val="3"/>
          <c:tx>
            <c:strRef>
              <c:f>各項分析!$E$3</c:f>
              <c:strCache>
                <c:ptCount val="1"/>
                <c:pt idx="0">
                  <c:v>平均值 - 價格NTD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各項分析!$A$4:$A$12</c:f>
              <c:strCache>
                <c:ptCount val="8"/>
                <c:pt idx="0">
                  <c:v>Qburger</c:v>
                </c:pt>
                <c:pt idx="1">
                  <c:v>小公寓</c:v>
                </c:pt>
                <c:pt idx="2">
                  <c:v>星巴克</c:v>
                </c:pt>
                <c:pt idx="3">
                  <c:v>麥味登</c:v>
                </c:pt>
                <c:pt idx="4">
                  <c:v>麥當勞</c:v>
                </c:pt>
                <c:pt idx="5">
                  <c:v>路易莎</c:v>
                </c:pt>
                <c:pt idx="6">
                  <c:v>福勝亭</c:v>
                </c:pt>
                <c:pt idx="7">
                  <c:v>摩斯漢堡</c:v>
                </c:pt>
              </c:strCache>
            </c:strRef>
          </c:cat>
          <c:val>
            <c:numRef>
              <c:f>各項分析!$E$4:$E$12</c:f>
              <c:numCache>
                <c:formatCode>General</c:formatCode>
                <c:ptCount val="8"/>
                <c:pt idx="0">
                  <c:v>56</c:v>
                </c:pt>
                <c:pt idx="1">
                  <c:v>207.5</c:v>
                </c:pt>
                <c:pt idx="2">
                  <c:v>58.285714285714285</c:v>
                </c:pt>
                <c:pt idx="3">
                  <c:v>74.166666666666671</c:v>
                </c:pt>
                <c:pt idx="4">
                  <c:v>96.333333333333329</c:v>
                </c:pt>
                <c:pt idx="5">
                  <c:v>75</c:v>
                </c:pt>
                <c:pt idx="6">
                  <c:v>215.71428571428572</c:v>
                </c:pt>
                <c:pt idx="7">
                  <c:v>71.428571428571431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1D-4C8D-A6AC-FAF5868C4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3409903"/>
        <c:axId val="1493387023"/>
      </c:barChart>
      <c:catAx>
        <c:axId val="149340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3387023"/>
        <c:crosses val="autoZero"/>
        <c:auto val="1"/>
        <c:lblAlgn val="ctr"/>
        <c:lblOffset val="100"/>
        <c:noMultiLvlLbl val="0"/>
      </c:catAx>
      <c:valAx>
        <c:axId val="149338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3409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[第二組 美食沙漠的幸福感從哪來.xlsm]各店家平均獲得的美味度與飽足感!樞紐分析表7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各店家平均獲得的美味度與飽足感!$B$3</c:f>
              <c:strCache>
                <c:ptCount val="1"/>
                <c:pt idx="0">
                  <c:v>平均值 - 美味度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各店家平均獲得的美味度與飽足感!$A$4:$A$13</c:f>
              <c:strCache>
                <c:ptCount val="9"/>
                <c:pt idx="0">
                  <c:v>Qburger</c:v>
                </c:pt>
                <c:pt idx="1">
                  <c:v>小公寓</c:v>
                </c:pt>
                <c:pt idx="2">
                  <c:v>其他</c:v>
                </c:pt>
                <c:pt idx="3">
                  <c:v>星巴克</c:v>
                </c:pt>
                <c:pt idx="4">
                  <c:v>麥味登</c:v>
                </c:pt>
                <c:pt idx="5">
                  <c:v>麥當勞</c:v>
                </c:pt>
                <c:pt idx="6">
                  <c:v>路易莎</c:v>
                </c:pt>
                <c:pt idx="7">
                  <c:v>福勝亭</c:v>
                </c:pt>
                <c:pt idx="8">
                  <c:v>摩斯漢堡</c:v>
                </c:pt>
              </c:strCache>
            </c:strRef>
          </c:cat>
          <c:val>
            <c:numRef>
              <c:f>各店家平均獲得的美味度與飽足感!$B$4:$B$13</c:f>
              <c:numCache>
                <c:formatCode>General</c:formatCode>
                <c:ptCount val="9"/>
                <c:pt idx="0">
                  <c:v>78.400000000000006</c:v>
                </c:pt>
                <c:pt idx="1">
                  <c:v>81.25</c:v>
                </c:pt>
                <c:pt idx="2">
                  <c:v>92.714285714285708</c:v>
                </c:pt>
                <c:pt idx="3">
                  <c:v>83.714285714285708</c:v>
                </c:pt>
                <c:pt idx="4">
                  <c:v>73.5</c:v>
                </c:pt>
                <c:pt idx="5">
                  <c:v>90.333333333333329</c:v>
                </c:pt>
                <c:pt idx="6">
                  <c:v>75.428571428571431</c:v>
                </c:pt>
                <c:pt idx="7">
                  <c:v>90.571428571428569</c:v>
                </c:pt>
                <c:pt idx="8">
                  <c:v>77.714285714285708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C1-4D5E-8082-F1DF04ABC292}"/>
            </c:ext>
          </c:extLst>
        </c:ser>
        <c:ser>
          <c:idx val="1"/>
          <c:order val="1"/>
          <c:tx>
            <c:strRef>
              <c:f>各店家平均獲得的美味度與飽足感!$C$3</c:f>
              <c:strCache>
                <c:ptCount val="1"/>
                <c:pt idx="0">
                  <c:v>平均值 - 飽足感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各店家平均獲得的美味度與飽足感!$A$4:$A$13</c:f>
              <c:strCache>
                <c:ptCount val="9"/>
                <c:pt idx="0">
                  <c:v>Qburger</c:v>
                </c:pt>
                <c:pt idx="1">
                  <c:v>小公寓</c:v>
                </c:pt>
                <c:pt idx="2">
                  <c:v>其他</c:v>
                </c:pt>
                <c:pt idx="3">
                  <c:v>星巴克</c:v>
                </c:pt>
                <c:pt idx="4">
                  <c:v>麥味登</c:v>
                </c:pt>
                <c:pt idx="5">
                  <c:v>麥當勞</c:v>
                </c:pt>
                <c:pt idx="6">
                  <c:v>路易莎</c:v>
                </c:pt>
                <c:pt idx="7">
                  <c:v>福勝亭</c:v>
                </c:pt>
                <c:pt idx="8">
                  <c:v>摩斯漢堡</c:v>
                </c:pt>
              </c:strCache>
            </c:strRef>
          </c:cat>
          <c:val>
            <c:numRef>
              <c:f>各店家平均獲得的美味度與飽足感!$C$4:$C$13</c:f>
              <c:numCache>
                <c:formatCode>General</c:formatCode>
                <c:ptCount val="9"/>
                <c:pt idx="0">
                  <c:v>82</c:v>
                </c:pt>
                <c:pt idx="1">
                  <c:v>88.625</c:v>
                </c:pt>
                <c:pt idx="2">
                  <c:v>68.571428571428569</c:v>
                </c:pt>
                <c:pt idx="3">
                  <c:v>90.571428571428569</c:v>
                </c:pt>
                <c:pt idx="4">
                  <c:v>79</c:v>
                </c:pt>
                <c:pt idx="5">
                  <c:v>81.666666666666671</c:v>
                </c:pt>
                <c:pt idx="6">
                  <c:v>86</c:v>
                </c:pt>
                <c:pt idx="7">
                  <c:v>84.428571428571431</c:v>
                </c:pt>
                <c:pt idx="8">
                  <c:v>87.285714285714292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C1-4D5E-8082-F1DF04ABC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8882943"/>
        <c:axId val="1578883359"/>
      </c:lineChart>
      <c:catAx>
        <c:axId val="1578882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78883359"/>
        <c:crosses val="autoZero"/>
        <c:auto val="1"/>
        <c:lblAlgn val="ctr"/>
        <c:lblOffset val="100"/>
        <c:noMultiLvlLbl val="0"/>
      </c:catAx>
      <c:valAx>
        <c:axId val="1578883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78882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[第二組 美食沙漠的幸福感從哪來.xlsm]各店家帶來的幸福感!樞紐分析表6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各店家帶來的幸福感!$B$3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各店家帶來的幸福感!$A$4:$A$13</c:f>
              <c:strCache>
                <c:ptCount val="9"/>
                <c:pt idx="0">
                  <c:v>Qburger</c:v>
                </c:pt>
                <c:pt idx="1">
                  <c:v>小公寓</c:v>
                </c:pt>
                <c:pt idx="2">
                  <c:v>其他</c:v>
                </c:pt>
                <c:pt idx="3">
                  <c:v>星巴克</c:v>
                </c:pt>
                <c:pt idx="4">
                  <c:v>麥味登</c:v>
                </c:pt>
                <c:pt idx="5">
                  <c:v>麥當勞</c:v>
                </c:pt>
                <c:pt idx="6">
                  <c:v>路易莎</c:v>
                </c:pt>
                <c:pt idx="7">
                  <c:v>福勝亭</c:v>
                </c:pt>
                <c:pt idx="8">
                  <c:v>摩斯漢堡</c:v>
                </c:pt>
              </c:strCache>
            </c:strRef>
          </c:cat>
          <c:val>
            <c:numRef>
              <c:f>各店家帶來的幸福感!$B$4:$B$13</c:f>
              <c:numCache>
                <c:formatCode>General</c:formatCode>
                <c:ptCount val="9"/>
                <c:pt idx="0">
                  <c:v>68.400000000000006</c:v>
                </c:pt>
                <c:pt idx="1">
                  <c:v>54.375</c:v>
                </c:pt>
                <c:pt idx="2">
                  <c:v>64.857142857142861</c:v>
                </c:pt>
                <c:pt idx="3">
                  <c:v>55.428571428571431</c:v>
                </c:pt>
                <c:pt idx="4">
                  <c:v>61</c:v>
                </c:pt>
                <c:pt idx="5">
                  <c:v>88.333333333333329</c:v>
                </c:pt>
                <c:pt idx="6">
                  <c:v>43.571428571428569</c:v>
                </c:pt>
                <c:pt idx="7">
                  <c:v>107.85714285714286</c:v>
                </c:pt>
                <c:pt idx="8">
                  <c:v>76.714285714285708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2E-46DD-BE87-F74E2F9BA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8874623"/>
        <c:axId val="1578892927"/>
      </c:barChart>
      <c:catAx>
        <c:axId val="157887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78892927"/>
        <c:crosses val="autoZero"/>
        <c:auto val="1"/>
        <c:lblAlgn val="ctr"/>
        <c:lblOffset val="100"/>
        <c:noMultiLvlLbl val="0"/>
      </c:catAx>
      <c:valAx>
        <c:axId val="157889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7887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[第二組 美食沙漠的幸福感從哪來.xlsm]在各店家花的錢!樞紐分析表4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在各店家花的錢!$B$3</c:f>
              <c:strCache>
                <c:ptCount val="1"/>
                <c:pt idx="0">
                  <c:v>加總 - 價格NTD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在各店家花的錢!$A$4:$A$13</c:f>
              <c:strCache>
                <c:ptCount val="9"/>
                <c:pt idx="0">
                  <c:v>Qburger</c:v>
                </c:pt>
                <c:pt idx="1">
                  <c:v>小公寓</c:v>
                </c:pt>
                <c:pt idx="2">
                  <c:v>其他</c:v>
                </c:pt>
                <c:pt idx="3">
                  <c:v>星巴克</c:v>
                </c:pt>
                <c:pt idx="4">
                  <c:v>麥味登</c:v>
                </c:pt>
                <c:pt idx="5">
                  <c:v>麥當勞</c:v>
                </c:pt>
                <c:pt idx="6">
                  <c:v>路易莎</c:v>
                </c:pt>
                <c:pt idx="7">
                  <c:v>福勝亭</c:v>
                </c:pt>
                <c:pt idx="8">
                  <c:v>摩斯漢堡</c:v>
                </c:pt>
              </c:strCache>
            </c:strRef>
          </c:cat>
          <c:val>
            <c:numRef>
              <c:f>在各店家花的錢!$B$4:$B$13</c:f>
              <c:numCache>
                <c:formatCode>General</c:formatCode>
                <c:ptCount val="9"/>
                <c:pt idx="0">
                  <c:v>280</c:v>
                </c:pt>
                <c:pt idx="1">
                  <c:v>1660</c:v>
                </c:pt>
                <c:pt idx="2">
                  <c:v>0</c:v>
                </c:pt>
                <c:pt idx="3">
                  <c:v>408</c:v>
                </c:pt>
                <c:pt idx="4">
                  <c:v>445</c:v>
                </c:pt>
                <c:pt idx="5">
                  <c:v>289</c:v>
                </c:pt>
                <c:pt idx="6">
                  <c:v>525</c:v>
                </c:pt>
                <c:pt idx="7">
                  <c:v>1510</c:v>
                </c:pt>
                <c:pt idx="8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9D-4818-AD74-6C05BE10B2C5}"/>
            </c:ext>
          </c:extLst>
        </c:ser>
        <c:ser>
          <c:idx val="1"/>
          <c:order val="1"/>
          <c:tx>
            <c:strRef>
              <c:f>在各店家花的錢!$C$3</c:f>
              <c:strCache>
                <c:ptCount val="1"/>
                <c:pt idx="0">
                  <c:v>加總 - 價格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在各店家花的錢!$A$4:$A$13</c:f>
              <c:strCache>
                <c:ptCount val="9"/>
                <c:pt idx="0">
                  <c:v>Qburger</c:v>
                </c:pt>
                <c:pt idx="1">
                  <c:v>小公寓</c:v>
                </c:pt>
                <c:pt idx="2">
                  <c:v>其他</c:v>
                </c:pt>
                <c:pt idx="3">
                  <c:v>星巴克</c:v>
                </c:pt>
                <c:pt idx="4">
                  <c:v>麥味登</c:v>
                </c:pt>
                <c:pt idx="5">
                  <c:v>麥當勞</c:v>
                </c:pt>
                <c:pt idx="6">
                  <c:v>路易莎</c:v>
                </c:pt>
                <c:pt idx="7">
                  <c:v>福勝亭</c:v>
                </c:pt>
                <c:pt idx="8">
                  <c:v>摩斯漢堡</c:v>
                </c:pt>
              </c:strCache>
            </c:strRef>
          </c:cat>
          <c:val>
            <c:numRef>
              <c:f>在各店家花的錢!$C$4:$C$13</c:f>
              <c:numCache>
                <c:formatCode>General</c:formatCode>
                <c:ptCount val="9"/>
                <c:pt idx="2">
                  <c:v>1485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9D-4818-AD74-6C05BE10B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8879615"/>
        <c:axId val="1578875871"/>
      </c:barChart>
      <c:catAx>
        <c:axId val="1578879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78875871"/>
        <c:crosses val="autoZero"/>
        <c:auto val="1"/>
        <c:lblAlgn val="ctr"/>
        <c:lblOffset val="100"/>
        <c:noMultiLvlLbl val="0"/>
      </c:catAx>
      <c:valAx>
        <c:axId val="157887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78879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[第二組 美食沙漠的幸福感從哪來.xlsm]光顧店家次數!樞紐分析表2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光顧店家次數!$B$3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光顧店家次數!$A$4:$A$13</c:f>
              <c:strCache>
                <c:ptCount val="9"/>
                <c:pt idx="0">
                  <c:v>Qburger</c:v>
                </c:pt>
                <c:pt idx="1">
                  <c:v>小公寓</c:v>
                </c:pt>
                <c:pt idx="2">
                  <c:v>其他</c:v>
                </c:pt>
                <c:pt idx="3">
                  <c:v>星巴克</c:v>
                </c:pt>
                <c:pt idx="4">
                  <c:v>麥味登</c:v>
                </c:pt>
                <c:pt idx="5">
                  <c:v>麥當勞</c:v>
                </c:pt>
                <c:pt idx="6">
                  <c:v>路易莎</c:v>
                </c:pt>
                <c:pt idx="7">
                  <c:v>福勝亭</c:v>
                </c:pt>
                <c:pt idx="8">
                  <c:v>摩斯漢堡</c:v>
                </c:pt>
              </c:strCache>
            </c:strRef>
          </c:cat>
          <c:val>
            <c:numRef>
              <c:f>光顧店家次數!$B$4:$B$13</c:f>
              <c:numCache>
                <c:formatCode>General</c:formatCode>
                <c:ptCount val="9"/>
                <c:pt idx="0">
                  <c:v>5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3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E-420C-A2BC-F726E664F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9058495"/>
        <c:axId val="1079048511"/>
      </c:barChart>
      <c:catAx>
        <c:axId val="1079058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9048511"/>
        <c:crosses val="autoZero"/>
        <c:auto val="1"/>
        <c:lblAlgn val="ctr"/>
        <c:lblOffset val="100"/>
        <c:noMultiLvlLbl val="0"/>
      </c:catAx>
      <c:valAx>
        <c:axId val="107904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9058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[第二組 美食沙漠的幸福感從哪來.xlsm]在各店家獲得的熱量!樞紐分析表3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在各店家獲得的熱量!$B$3</c:f>
              <c:strCache>
                <c:ptCount val="1"/>
                <c:pt idx="0">
                  <c:v>加總 - 熱量Kcal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在各店家獲得的熱量!$A$4:$A$13</c:f>
              <c:strCache>
                <c:ptCount val="9"/>
                <c:pt idx="0">
                  <c:v>Qburger</c:v>
                </c:pt>
                <c:pt idx="1">
                  <c:v>小公寓</c:v>
                </c:pt>
                <c:pt idx="2">
                  <c:v>其他</c:v>
                </c:pt>
                <c:pt idx="3">
                  <c:v>星巴克</c:v>
                </c:pt>
                <c:pt idx="4">
                  <c:v>麥味登</c:v>
                </c:pt>
                <c:pt idx="5">
                  <c:v>麥當勞</c:v>
                </c:pt>
                <c:pt idx="6">
                  <c:v>路易莎</c:v>
                </c:pt>
                <c:pt idx="7">
                  <c:v>福勝亭</c:v>
                </c:pt>
                <c:pt idx="8">
                  <c:v>摩斯漢堡</c:v>
                </c:pt>
              </c:strCache>
            </c:strRef>
          </c:cat>
          <c:val>
            <c:numRef>
              <c:f>在各店家獲得的熱量!$B$4:$B$13</c:f>
              <c:numCache>
                <c:formatCode>General</c:formatCode>
                <c:ptCount val="9"/>
                <c:pt idx="0">
                  <c:v>2111.8000000000002</c:v>
                </c:pt>
                <c:pt idx="1">
                  <c:v>4400</c:v>
                </c:pt>
                <c:pt idx="2">
                  <c:v>0</c:v>
                </c:pt>
                <c:pt idx="3">
                  <c:v>1899</c:v>
                </c:pt>
                <c:pt idx="4">
                  <c:v>2514</c:v>
                </c:pt>
                <c:pt idx="5">
                  <c:v>1783.56</c:v>
                </c:pt>
                <c:pt idx="6">
                  <c:v>2009</c:v>
                </c:pt>
                <c:pt idx="7">
                  <c:v>7249.9999999999991</c:v>
                </c:pt>
                <c:pt idx="8">
                  <c:v>3248.2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8A-4DBB-AB27-5D56DB192460}"/>
            </c:ext>
          </c:extLst>
        </c:ser>
        <c:ser>
          <c:idx val="1"/>
          <c:order val="1"/>
          <c:tx>
            <c:strRef>
              <c:f>在各店家獲得的熱量!$C$3</c:f>
              <c:strCache>
                <c:ptCount val="1"/>
                <c:pt idx="0">
                  <c:v>加總 - 熱量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在各店家獲得的熱量!$A$4:$A$13</c:f>
              <c:strCache>
                <c:ptCount val="9"/>
                <c:pt idx="0">
                  <c:v>Qburger</c:v>
                </c:pt>
                <c:pt idx="1">
                  <c:v>小公寓</c:v>
                </c:pt>
                <c:pt idx="2">
                  <c:v>其他</c:v>
                </c:pt>
                <c:pt idx="3">
                  <c:v>星巴克</c:v>
                </c:pt>
                <c:pt idx="4">
                  <c:v>麥味登</c:v>
                </c:pt>
                <c:pt idx="5">
                  <c:v>麥當勞</c:v>
                </c:pt>
                <c:pt idx="6">
                  <c:v>路易莎</c:v>
                </c:pt>
                <c:pt idx="7">
                  <c:v>福勝亭</c:v>
                </c:pt>
                <c:pt idx="8">
                  <c:v>摩斯漢堡</c:v>
                </c:pt>
              </c:strCache>
            </c:strRef>
          </c:cat>
          <c:val>
            <c:numRef>
              <c:f>在各店家獲得的熱量!$C$4:$C$13</c:f>
              <c:numCache>
                <c:formatCode>General</c:formatCode>
                <c:ptCount val="9"/>
                <c:pt idx="2">
                  <c:v>4350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8A-4DBB-AB27-5D56DB192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8911231"/>
        <c:axId val="1578909983"/>
      </c:barChart>
      <c:catAx>
        <c:axId val="1578911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78909983"/>
        <c:crosses val="autoZero"/>
        <c:auto val="1"/>
        <c:lblAlgn val="ctr"/>
        <c:lblOffset val="100"/>
        <c:noMultiLvlLbl val="0"/>
      </c:catAx>
      <c:valAx>
        <c:axId val="157890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78911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</xdr:row>
          <xdr:rowOff>200025</xdr:rowOff>
        </xdr:from>
        <xdr:to>
          <xdr:col>3</xdr:col>
          <xdr:colOff>0</xdr:colOff>
          <xdr:row>17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9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14288</xdr:colOff>
          <xdr:row>15</xdr:row>
          <xdr:rowOff>14288</xdr:rowOff>
        </xdr:from>
        <xdr:to>
          <xdr:col>4</xdr:col>
          <xdr:colOff>838200</xdr:colOff>
          <xdr:row>17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9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269556</xdr:colOff>
      <xdr:row>13</xdr:row>
      <xdr:rowOff>13336</xdr:rowOff>
    </xdr:from>
    <xdr:to>
      <xdr:col>10</xdr:col>
      <xdr:colOff>1724977</xdr:colOff>
      <xdr:row>16</xdr:row>
      <xdr:rowOff>158116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70569" y="2847024"/>
          <a:ext cx="3522346" cy="7591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63</xdr:row>
          <xdr:rowOff>23813</xdr:rowOff>
        </xdr:from>
        <xdr:to>
          <xdr:col>4</xdr:col>
          <xdr:colOff>0</xdr:colOff>
          <xdr:row>66</xdr:row>
          <xdr:rowOff>14288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14288</xdr:colOff>
          <xdr:row>63</xdr:row>
          <xdr:rowOff>14288</xdr:rowOff>
        </xdr:from>
        <xdr:to>
          <xdr:col>5</xdr:col>
          <xdr:colOff>838200</xdr:colOff>
          <xdr:row>65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60006</xdr:colOff>
      <xdr:row>61</xdr:row>
      <xdr:rowOff>194311</xdr:rowOff>
    </xdr:from>
    <xdr:to>
      <xdr:col>10</xdr:col>
      <xdr:colOff>910590</xdr:colOff>
      <xdr:row>65</xdr:row>
      <xdr:rowOff>134303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65644" y="12857799"/>
          <a:ext cx="3522346" cy="7591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67</xdr:row>
          <xdr:rowOff>23813</xdr:rowOff>
        </xdr:from>
        <xdr:to>
          <xdr:col>3</xdr:col>
          <xdr:colOff>1852613</xdr:colOff>
          <xdr:row>70</xdr:row>
          <xdr:rowOff>9525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建議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161925</xdr:colOff>
      <xdr:row>2</xdr:row>
      <xdr:rowOff>28575</xdr:rowOff>
    </xdr:from>
    <xdr:to>
      <xdr:col>9</xdr:col>
      <xdr:colOff>204787</xdr:colOff>
      <xdr:row>8</xdr:row>
      <xdr:rowOff>200025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日期 5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日期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05525" y="438150"/>
              <a:ext cx="3333750" cy="1400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時間表: 適用於 Excel 2013 或更新版本。請勿移動或調整大小。</a:t>
              </a:r>
            </a:p>
          </xdr:txBody>
        </xdr:sp>
      </mc:Fallback>
    </mc:AlternateContent>
    <xdr:clientData/>
  </xdr:twoCellAnchor>
  <xdr:twoCellAnchor>
    <xdr:from>
      <xdr:col>0</xdr:col>
      <xdr:colOff>190500</xdr:colOff>
      <xdr:row>12</xdr:row>
      <xdr:rowOff>90488</xdr:rowOff>
    </xdr:from>
    <xdr:to>
      <xdr:col>4</xdr:col>
      <xdr:colOff>1233487</xdr:colOff>
      <xdr:row>28</xdr:row>
      <xdr:rowOff>19050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42863</xdr:colOff>
      <xdr:row>12</xdr:row>
      <xdr:rowOff>76200</xdr:rowOff>
    </xdr:from>
    <xdr:to>
      <xdr:col>12</xdr:col>
      <xdr:colOff>190501</xdr:colOff>
      <xdr:row>28</xdr:row>
      <xdr:rowOff>23813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109538</xdr:colOff>
      <xdr:row>2</xdr:row>
      <xdr:rowOff>9525</xdr:rowOff>
    </xdr:from>
    <xdr:to>
      <xdr:col>10</xdr:col>
      <xdr:colOff>147638</xdr:colOff>
      <xdr:row>15</xdr:row>
      <xdr:rowOff>90487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266700</xdr:colOff>
      <xdr:row>2</xdr:row>
      <xdr:rowOff>14288</xdr:rowOff>
    </xdr:from>
    <xdr:to>
      <xdr:col>15</xdr:col>
      <xdr:colOff>361950</xdr:colOff>
      <xdr:row>8</xdr:row>
      <xdr:rowOff>185738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日期 4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日期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77175" y="423863"/>
              <a:ext cx="3333750" cy="1400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時間表: 適用於 Excel 2013 或更新版本。請勿移動或調整大小。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128588</xdr:colOff>
      <xdr:row>2</xdr:row>
      <xdr:rowOff>14288</xdr:rowOff>
    </xdr:from>
    <xdr:to>
      <xdr:col>9</xdr:col>
      <xdr:colOff>166688</xdr:colOff>
      <xdr:row>15</xdr:row>
      <xdr:rowOff>95250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266699</xdr:colOff>
      <xdr:row>2</xdr:row>
      <xdr:rowOff>14288</xdr:rowOff>
    </xdr:from>
    <xdr:to>
      <xdr:col>14</xdr:col>
      <xdr:colOff>361949</xdr:colOff>
      <xdr:row>8</xdr:row>
      <xdr:rowOff>185738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日期 3">
              <a:extLst>
                <a:ext uri="{FF2B5EF4-FFF2-40B4-BE49-F238E27FC236}">
                  <a16:creationId xmlns:a16="http://schemas.microsoft.com/office/drawing/2014/main" id="{00000000-0008-0000-0D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日期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24687" y="423863"/>
              <a:ext cx="3333750" cy="1400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時間表: 適用於 Excel 2013 或更新版本。請勿移動或調整大小。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2</xdr:row>
      <xdr:rowOff>33338</xdr:rowOff>
    </xdr:from>
    <xdr:to>
      <xdr:col>10</xdr:col>
      <xdr:colOff>180975</xdr:colOff>
      <xdr:row>15</xdr:row>
      <xdr:rowOff>114300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304799</xdr:colOff>
      <xdr:row>2</xdr:row>
      <xdr:rowOff>66675</xdr:rowOff>
    </xdr:from>
    <xdr:to>
      <xdr:col>15</xdr:col>
      <xdr:colOff>400049</xdr:colOff>
      <xdr:row>9</xdr:row>
      <xdr:rowOff>33337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日期 2">
              <a:extLst>
                <a:ext uri="{FF2B5EF4-FFF2-40B4-BE49-F238E27FC236}">
                  <a16:creationId xmlns:a16="http://schemas.microsoft.com/office/drawing/2014/main" id="{00000000-0008-0000-0E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日期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77137" y="476250"/>
              <a:ext cx="3333750" cy="1400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時間表: 適用於 Excel 2013 或更新版本。請勿移動或調整大小。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357187</xdr:colOff>
      <xdr:row>2</xdr:row>
      <xdr:rowOff>38100</xdr:rowOff>
    </xdr:from>
    <xdr:to>
      <xdr:col>14</xdr:col>
      <xdr:colOff>452437</xdr:colOff>
      <xdr:row>9</xdr:row>
      <xdr:rowOff>4762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日期">
              <a:extLst>
                <a:ext uri="{FF2B5EF4-FFF2-40B4-BE49-F238E27FC236}">
                  <a16:creationId xmlns:a16="http://schemas.microsoft.com/office/drawing/2014/main" id="{00000000-0008-0000-0F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日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48425" y="447675"/>
              <a:ext cx="3333750" cy="1400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時間表: 適用於 Excel 2013 或更新版本。請勿移動或調整大小。</a:t>
              </a:r>
            </a:p>
          </xdr:txBody>
        </xdr:sp>
      </mc:Fallback>
    </mc:AlternateContent>
    <xdr:clientData/>
  </xdr:twoCellAnchor>
  <xdr:twoCellAnchor>
    <xdr:from>
      <xdr:col>2</xdr:col>
      <xdr:colOff>95248</xdr:colOff>
      <xdr:row>2</xdr:row>
      <xdr:rowOff>19049</xdr:rowOff>
    </xdr:from>
    <xdr:to>
      <xdr:col>9</xdr:col>
      <xdr:colOff>176211</xdr:colOff>
      <xdr:row>15</xdr:row>
      <xdr:rowOff>104774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171449</xdr:colOff>
      <xdr:row>2</xdr:row>
      <xdr:rowOff>33337</xdr:rowOff>
    </xdr:from>
    <xdr:to>
      <xdr:col>10</xdr:col>
      <xdr:colOff>414337</xdr:colOff>
      <xdr:row>15</xdr:row>
      <xdr:rowOff>114299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57150</xdr:colOff>
      <xdr:row>2</xdr:row>
      <xdr:rowOff>33338</xdr:rowOff>
    </xdr:from>
    <xdr:to>
      <xdr:col>16</xdr:col>
      <xdr:colOff>152400</xdr:colOff>
      <xdr:row>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日期 1">
              <a:extLst>
                <a:ext uri="{FF2B5EF4-FFF2-40B4-BE49-F238E27FC236}">
                  <a16:creationId xmlns:a16="http://schemas.microsoft.com/office/drawing/2014/main" id="{00000000-0008-0000-1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日期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48613" y="442913"/>
              <a:ext cx="3333750" cy="1400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時間表: 適用於 Excel 2013 或更新版本。請勿移動或調整大小。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a" refreshedDate="45612.868327083335" createdVersion="7" refreshedVersion="7" minRefreshableVersion="3" recordCount="57" xr:uid="{4FF96521-5ABC-42AF-890E-8178EE93E8AA}">
  <cacheSource type="worksheet">
    <worksheetSource ref="A1:K58" sheet="幸福感計算器 (月) "/>
  </cacheSource>
  <cacheFields count="11">
    <cacheField name="日期" numFmtId="176">
      <sharedItems containsSemiMixedTypes="0" containsNonDate="0" containsDate="1" containsString="0" minDate="2024-11-01T00:00:00" maxDate="2024-12-01T00:00:00" count="30">
        <d v="2024-11-01T00:00:00"/>
        <d v="2024-11-02T00:00:00"/>
        <d v="2024-11-05T00:00:00"/>
        <d v="2024-11-08T00:00:00"/>
        <d v="2024-11-03T00:00:00"/>
        <d v="2024-11-06T00:00:00"/>
        <d v="2024-11-07T00:00:00"/>
        <d v="2024-11-11T00:00:00"/>
        <d v="2024-11-13T00:00:00"/>
        <d v="2024-11-12T00:00:00"/>
        <d v="2024-11-15T00:00:00"/>
        <d v="2024-11-20T00:00:00"/>
        <d v="2024-11-04T00:00:00"/>
        <d v="2024-11-16T00:00:00"/>
        <d v="2024-11-17T00:00:00"/>
        <d v="2024-11-18T00:00:00"/>
        <d v="2024-11-19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2T00:00:00"/>
        <d v="2024-11-21T00:00:00"/>
        <d v="2024-11-09T00:00:00"/>
        <d v="2024-11-10T00:00:00"/>
        <d v="2024-11-14T00:00:00"/>
      </sharedItems>
    </cacheField>
    <cacheField name="商家選擇" numFmtId="0">
      <sharedItems count="9">
        <s v="路易莎"/>
        <s v="Qburger"/>
        <s v="星巴克"/>
        <s v="小公寓"/>
        <s v="福勝亭"/>
        <s v="摩斯漢堡"/>
        <s v="麥味登"/>
        <s v="其他"/>
        <s v="麥當勞"/>
      </sharedItems>
    </cacheField>
    <cacheField name="類型" numFmtId="0">
      <sharedItems/>
    </cacheField>
    <cacheField name="餐點名稱" numFmtId="0">
      <sharedItems/>
    </cacheField>
    <cacheField name="美味度" numFmtId="0">
      <sharedItems containsSemiMixedTypes="0" containsString="0" containsNumber="1" containsInteger="1" minValue="20" maxValue="100"/>
    </cacheField>
    <cacheField name="飽足感" numFmtId="0">
      <sharedItems containsSemiMixedTypes="0" containsString="0" containsNumber="1" containsInteger="1" minValue="30" maxValue="100"/>
    </cacheField>
    <cacheField name="熱量Kcal" numFmtId="0">
      <sharedItems containsBlank="1" containsMixedTypes="1" containsNumber="1" minValue="191.8" maxValue="1171.3"/>
    </cacheField>
    <cacheField name="熱量" numFmtId="0">
      <sharedItems containsString="0" containsBlank="1" containsNumber="1" containsInteger="1" minValue="300" maxValue="1300"/>
    </cacheField>
    <cacheField name="價格NTD" numFmtId="0">
      <sharedItems containsBlank="1" containsMixedTypes="1" containsNumber="1" containsInteger="1" minValue="35" maxValue="250"/>
    </cacheField>
    <cacheField name="價格" numFmtId="0">
      <sharedItems containsString="0" containsBlank="1" containsNumber="1" containsInteger="1" minValue="35" maxValue="800"/>
    </cacheField>
    <cacheField name="換算幸福感" numFmtId="0">
      <sharedItems containsSemiMixedTypes="0" containsString="0" containsNumber="1" containsInteger="1" minValue="7" maxValue="136"/>
    </cacheField>
  </cacheFields>
  <extLst>
    <ext xmlns:x14="http://schemas.microsoft.com/office/spreadsheetml/2009/9/main" uri="{725AE2AE-9491-48be-B2B4-4EB974FC3084}">
      <x14:pivotCacheDefinition pivotCacheId="48780032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x v="0"/>
    <x v="0"/>
    <s v="點心"/>
    <s v="岩燒黃金乳酪派"/>
    <n v="100"/>
    <n v="100"/>
    <n v="222.6"/>
    <m/>
    <n v="65"/>
    <m/>
    <n v="55"/>
  </r>
  <r>
    <x v="1"/>
    <x v="1"/>
    <s v="午餐"/>
    <s v="鮪魚吐司"/>
    <n v="40"/>
    <n v="100"/>
    <n v="443"/>
    <m/>
    <n v="45"/>
    <m/>
    <n v="53"/>
  </r>
  <r>
    <x v="2"/>
    <x v="2"/>
    <s v="點心"/>
    <s v="Bearista奶油瑪德蓮"/>
    <n v="30"/>
    <n v="100"/>
    <n v="249"/>
    <m/>
    <n v="56"/>
    <m/>
    <n v="20"/>
  </r>
  <r>
    <x v="3"/>
    <x v="0"/>
    <s v="點心"/>
    <s v="焦糖核桃咖啡派"/>
    <n v="50"/>
    <n v="80"/>
    <n v="355"/>
    <m/>
    <n v="90"/>
    <m/>
    <n v="30"/>
  </r>
  <r>
    <x v="4"/>
    <x v="3"/>
    <s v="晚餐"/>
    <s v="鮪魚蔬菜鬆餅"/>
    <n v="90"/>
    <n v="90"/>
    <n v="800"/>
    <m/>
    <n v="250"/>
    <m/>
    <n v="82"/>
  </r>
  <r>
    <x v="5"/>
    <x v="4"/>
    <s v="晚餐"/>
    <s v="黃金魚排定食"/>
    <n v="100"/>
    <n v="80"/>
    <n v="1039.1999999999998"/>
    <m/>
    <n v="210"/>
    <m/>
    <n v="115"/>
  </r>
  <r>
    <x v="6"/>
    <x v="5"/>
    <s v="晚餐"/>
    <s v="辣味摩斯吉士漢堡"/>
    <n v="96"/>
    <n v="70"/>
    <n v="478.2"/>
    <m/>
    <n v="75"/>
    <m/>
    <n v="74"/>
  </r>
  <r>
    <x v="7"/>
    <x v="4"/>
    <s v="午餐"/>
    <s v="黃金魚排定食"/>
    <n v="95"/>
    <n v="100"/>
    <n v="1039.1999999999998"/>
    <m/>
    <n v="210"/>
    <m/>
    <n v="136"/>
  </r>
  <r>
    <x v="8"/>
    <x v="3"/>
    <s v="點心"/>
    <s v="玫瑰拿鐵"/>
    <n v="94"/>
    <n v="94"/>
    <n v="350"/>
    <m/>
    <n v="120"/>
    <m/>
    <n v="56"/>
  </r>
  <r>
    <x v="9"/>
    <x v="2"/>
    <s v="點心"/>
    <s v="Bearista奶油瑪德蓮"/>
    <n v="94"/>
    <n v="93"/>
    <n v="249"/>
    <m/>
    <n v="56"/>
    <m/>
    <n v="58"/>
  </r>
  <r>
    <x v="10"/>
    <x v="1"/>
    <s v="午餐"/>
    <s v="黑胡椒鐵板麵"/>
    <n v="85"/>
    <n v="82"/>
    <n v="583"/>
    <m/>
    <n v="50"/>
    <m/>
    <n v="115"/>
  </r>
  <r>
    <x v="11"/>
    <x v="6"/>
    <s v="午餐"/>
    <s v="川味麻辣鐵板麵"/>
    <n v="60"/>
    <n v="76"/>
    <n v="424"/>
    <m/>
    <n v="55"/>
    <m/>
    <n v="52"/>
  </r>
  <r>
    <x v="4"/>
    <x v="3"/>
    <s v="晚餐"/>
    <s v="熏鮭魚馬鈴薯泥"/>
    <n v="75"/>
    <n v="100"/>
    <n v="500"/>
    <m/>
    <n v="230"/>
    <m/>
    <n v="49"/>
  </r>
  <r>
    <x v="12"/>
    <x v="0"/>
    <s v="點心"/>
    <s v="生酮伯爵茶乳酪捲"/>
    <n v="77"/>
    <n v="100"/>
    <n v="191.8"/>
    <m/>
    <n v="70"/>
    <m/>
    <n v="35"/>
  </r>
  <r>
    <x v="2"/>
    <x v="6"/>
    <s v="午餐"/>
    <s v="青醬蘑菇義大利麵"/>
    <n v="81"/>
    <n v="100"/>
    <n v="430"/>
    <m/>
    <n v="120"/>
    <m/>
    <n v="64"/>
  </r>
  <r>
    <x v="5"/>
    <x v="1"/>
    <s v="午餐"/>
    <s v="鮪魚吐司"/>
    <n v="83"/>
    <n v="35"/>
    <n v="443"/>
    <m/>
    <n v="45"/>
    <m/>
    <n v="38"/>
  </r>
  <r>
    <x v="10"/>
    <x v="6"/>
    <s v="午餐"/>
    <s v="茄汁檸檬雞義大利麵"/>
    <n v="90"/>
    <n v="80"/>
    <n v="439"/>
    <m/>
    <n v="110"/>
    <m/>
    <n v="60"/>
  </r>
  <r>
    <x v="13"/>
    <x v="3"/>
    <s v="晚餐"/>
    <s v="熏鮭魚馬鈴薯泥"/>
    <n v="100"/>
    <n v="85"/>
    <n v="500"/>
    <m/>
    <n v="230"/>
    <m/>
    <n v="56"/>
  </r>
  <r>
    <x v="14"/>
    <x v="2"/>
    <s v="點心"/>
    <s v="提拉米蘇布丁"/>
    <n v="100"/>
    <n v="100"/>
    <n v="216"/>
    <m/>
    <n v="75"/>
    <m/>
    <n v="50"/>
  </r>
  <r>
    <x v="15"/>
    <x v="6"/>
    <s v="午餐"/>
    <s v="眷村麻醬鐵板麵"/>
    <n v="75"/>
    <n v="100"/>
    <n v="435"/>
    <m/>
    <n v="55"/>
    <m/>
    <n v="88"/>
  </r>
  <r>
    <x v="16"/>
    <x v="5"/>
    <s v="晚餐"/>
    <s v="摩斯吉士漢堡"/>
    <n v="66"/>
    <n v="95"/>
    <n v="476.9"/>
    <m/>
    <n v="75"/>
    <m/>
    <n v="69"/>
  </r>
  <r>
    <x v="17"/>
    <x v="7"/>
    <s v="點心"/>
    <s v="巧克力蛋糕"/>
    <n v="90"/>
    <n v="55"/>
    <s v=""/>
    <n v="300"/>
    <s v=""/>
    <n v="35"/>
    <n v="50"/>
  </r>
  <r>
    <x v="18"/>
    <x v="0"/>
    <s v="早餐"/>
    <s v="植物肉排瑪芬堡"/>
    <n v="100"/>
    <n v="60"/>
    <n v="345"/>
    <m/>
    <n v="70"/>
    <m/>
    <n v="49"/>
  </r>
  <r>
    <x v="19"/>
    <x v="4"/>
    <s v="晚餐"/>
    <s v="和風咖哩豬排定食"/>
    <n v="90"/>
    <n v="75"/>
    <n v="1171.3"/>
    <m/>
    <n v="210"/>
    <m/>
    <n v="109"/>
  </r>
  <r>
    <x v="20"/>
    <x v="4"/>
    <s v="午餐"/>
    <s v="香酥炸腰內肉定食"/>
    <n v="92"/>
    <n v="80"/>
    <n v="928.59999999999991"/>
    <m/>
    <n v="210"/>
    <m/>
    <n v="94"/>
  </r>
  <r>
    <x v="21"/>
    <x v="7"/>
    <s v="點心"/>
    <s v="蜂蜜鬆餅"/>
    <n v="93"/>
    <n v="40"/>
    <s v=""/>
    <n v="450"/>
    <s v=""/>
    <n v="35"/>
    <n v="57"/>
  </r>
  <r>
    <x v="22"/>
    <x v="5"/>
    <s v="晚餐"/>
    <s v="辣味摩斯吉士漢堡"/>
    <n v="95"/>
    <n v="100"/>
    <n v="478.2"/>
    <m/>
    <n v="75"/>
    <m/>
    <n v="105"/>
  </r>
  <r>
    <x v="23"/>
    <x v="3"/>
    <s v="晚餐"/>
    <s v="德式熏腸馬鈴薯泥"/>
    <n v="61"/>
    <n v="100"/>
    <n v="600"/>
    <m/>
    <n v="220"/>
    <m/>
    <n v="49"/>
  </r>
  <r>
    <x v="24"/>
    <x v="0"/>
    <s v="早餐"/>
    <s v="植物肉排瑪芬堡"/>
    <n v="81"/>
    <n v="90"/>
    <n v="345"/>
    <m/>
    <n v="70"/>
    <m/>
    <n v="60"/>
  </r>
  <r>
    <x v="25"/>
    <x v="7"/>
    <s v="午餐"/>
    <s v="松露野菇義大利麵"/>
    <n v="82"/>
    <n v="95"/>
    <s v=""/>
    <n v="500"/>
    <s v=""/>
    <n v="150"/>
    <n v="64"/>
  </r>
  <r>
    <x v="26"/>
    <x v="5"/>
    <s v="晚餐"/>
    <s v="摩斯鱈魚漢堡"/>
    <n v="83"/>
    <n v="100"/>
    <n v="508"/>
    <m/>
    <n v="70"/>
    <m/>
    <n v="101"/>
  </r>
  <r>
    <x v="21"/>
    <x v="1"/>
    <s v="午餐"/>
    <s v="鮪魚玉米可朗芙"/>
    <n v="84"/>
    <n v="100"/>
    <n v="321.39999999999998"/>
    <m/>
    <n v="70"/>
    <m/>
    <n v="65"/>
  </r>
  <r>
    <x v="13"/>
    <x v="2"/>
    <s v="點心"/>
    <s v="Bearista奶油瑪德蓮"/>
    <n v="86"/>
    <n v="100"/>
    <n v="249"/>
    <m/>
    <n v="56"/>
    <m/>
    <n v="57"/>
  </r>
  <r>
    <x v="14"/>
    <x v="4"/>
    <s v="晚餐"/>
    <s v="鮮嫩炸雞柳定食"/>
    <n v="88"/>
    <n v="100"/>
    <n v="879.5"/>
    <m/>
    <n v="210"/>
    <m/>
    <n v="107"/>
  </r>
  <r>
    <x v="15"/>
    <x v="5"/>
    <s v="早餐"/>
    <s v="元氣牛肉蛋堡"/>
    <n v="89"/>
    <n v="100"/>
    <n v="471.5"/>
    <m/>
    <n v="65"/>
    <m/>
    <n v="104"/>
  </r>
  <r>
    <x v="16"/>
    <x v="7"/>
    <s v="點心"/>
    <s v="冰淇淋"/>
    <n v="91"/>
    <n v="55"/>
    <s v=""/>
    <n v="300"/>
    <s v=""/>
    <n v="45"/>
    <n v="45"/>
  </r>
  <r>
    <x v="11"/>
    <x v="7"/>
    <s v="點心"/>
    <s v="章魚燒"/>
    <n v="93"/>
    <n v="35"/>
    <s v=""/>
    <n v="500"/>
    <s v=""/>
    <n v="70"/>
    <n v="39"/>
  </r>
  <r>
    <x v="26"/>
    <x v="7"/>
    <s v="午餐"/>
    <s v="西堤吃大餐"/>
    <n v="100"/>
    <n v="100"/>
    <s v=""/>
    <n v="1300"/>
    <s v=""/>
    <n v="800"/>
    <n v="92"/>
  </r>
  <r>
    <x v="25"/>
    <x v="0"/>
    <s v="點心"/>
    <s v="生酮乳酪捲"/>
    <n v="20"/>
    <n v="80"/>
    <n v="194.6"/>
    <m/>
    <n v="70"/>
    <m/>
    <n v="7"/>
  </r>
  <r>
    <x v="22"/>
    <x v="6"/>
    <s v="午餐"/>
    <s v="川味麻辣鐵板麵"/>
    <n v="35"/>
    <n v="30"/>
    <n v="424"/>
    <m/>
    <n v="55"/>
    <m/>
    <n v="12"/>
  </r>
  <r>
    <x v="21"/>
    <x v="3"/>
    <s v="晚餐"/>
    <s v="辣牛肉馬鈴薯泥"/>
    <n v="40"/>
    <n v="50"/>
    <n v="700"/>
    <m/>
    <n v="220"/>
    <m/>
    <n v="19"/>
  </r>
  <r>
    <x v="0"/>
    <x v="5"/>
    <s v="點心"/>
    <s v="V型薯條"/>
    <n v="55"/>
    <n v="70"/>
    <n v="357.2"/>
    <m/>
    <n v="65"/>
    <m/>
    <n v="34"/>
  </r>
  <r>
    <x v="3"/>
    <x v="5"/>
    <s v="午餐"/>
    <s v="辣味摩斯吉士漢堡"/>
    <n v="60"/>
    <n v="76"/>
    <n v="478.2"/>
    <m/>
    <n v="75"/>
    <m/>
    <n v="50"/>
  </r>
  <r>
    <x v="27"/>
    <x v="4"/>
    <s v="晚餐"/>
    <s v="大阪燒豬排定食"/>
    <n v="80"/>
    <n v="75"/>
    <n v="1020.9"/>
    <m/>
    <n v="250"/>
    <m/>
    <n v="77"/>
  </r>
  <r>
    <x v="11"/>
    <x v="8"/>
    <s v="晚餐"/>
    <s v="雙層四盎司牛肉堡"/>
    <n v="87"/>
    <n v="73"/>
    <n v="779.94"/>
    <m/>
    <n v="135"/>
    <m/>
    <n v="85"/>
  </r>
  <r>
    <x v="26"/>
    <x v="8"/>
    <s v="午餐"/>
    <s v="雙層麥香鷄"/>
    <n v="88"/>
    <n v="72"/>
    <n v="528.62"/>
    <m/>
    <n v="79"/>
    <m/>
    <n v="75"/>
  </r>
  <r>
    <x v="25"/>
    <x v="4"/>
    <s v="晚餐"/>
    <s v="和風咖哩豬排定食"/>
    <n v="89"/>
    <n v="81"/>
    <n v="1171.3"/>
    <m/>
    <n v="210"/>
    <m/>
    <n v="117"/>
  </r>
  <r>
    <x v="27"/>
    <x v="2"/>
    <s v="點心"/>
    <s v="巧克力司康"/>
    <n v="91"/>
    <n v="90"/>
    <n v="427"/>
    <m/>
    <n v="65"/>
    <m/>
    <n v="87"/>
  </r>
  <r>
    <x v="28"/>
    <x v="2"/>
    <s v="點心"/>
    <s v="綜合堅果塔"/>
    <n v="93"/>
    <n v="55"/>
    <n v="212"/>
    <m/>
    <n v="65"/>
    <m/>
    <n v="27"/>
  </r>
  <r>
    <x v="24"/>
    <x v="3"/>
    <s v="晚餐"/>
    <s v="經典鬆餅"/>
    <n v="95"/>
    <n v="90"/>
    <n v="450"/>
    <m/>
    <n v="160"/>
    <m/>
    <n v="61"/>
  </r>
  <r>
    <x v="22"/>
    <x v="2"/>
    <s v="點心"/>
    <s v="棉花糖巧克力餅乾"/>
    <n v="92"/>
    <n v="96"/>
    <n v="297"/>
    <m/>
    <n v="35"/>
    <m/>
    <n v="89"/>
  </r>
  <r>
    <x v="29"/>
    <x v="1"/>
    <s v="早餐"/>
    <s v="鮪魚玉米可朗芙"/>
    <n v="100"/>
    <n v="93"/>
    <n v="321.39999999999998"/>
    <m/>
    <n v="70"/>
    <m/>
    <n v="71"/>
  </r>
  <r>
    <x v="13"/>
    <x v="0"/>
    <s v="點心"/>
    <s v="焦糖核桃咖啡派"/>
    <n v="100"/>
    <n v="92"/>
    <n v="355"/>
    <m/>
    <n v="90"/>
    <m/>
    <n v="69"/>
  </r>
  <r>
    <x v="15"/>
    <x v="6"/>
    <s v="午餐"/>
    <s v="黑胡椒鐵板麵"/>
    <n v="100"/>
    <n v="88"/>
    <n v="362"/>
    <m/>
    <n v="50"/>
    <m/>
    <n v="90"/>
  </r>
  <r>
    <x v="16"/>
    <x v="3"/>
    <s v="晚餐"/>
    <s v="熏鮭魚馬鈴薯泥"/>
    <n v="95"/>
    <n v="100"/>
    <n v="500"/>
    <m/>
    <n v="230"/>
    <m/>
    <n v="63"/>
  </r>
  <r>
    <x v="11"/>
    <x v="8"/>
    <s v="晚餐"/>
    <s v="雙層牛肉吉事堡"/>
    <n v="96"/>
    <n v="100"/>
    <n v="475"/>
    <m/>
    <n v="75"/>
    <m/>
    <n v="105"/>
  </r>
  <r>
    <x v="22"/>
    <x v="7"/>
    <s v="點心"/>
    <s v="老街點心"/>
    <n v="100"/>
    <n v="100"/>
    <m/>
    <n v="1000"/>
    <m/>
    <n v="350"/>
    <n v="1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B97128-84A7-4188-B645-617024C42352}" name="樞紐分析表8" cacheId="0" applyNumberFormats="0" applyBorderFormats="0" applyFontFormats="0" applyPatternFormats="0" applyAlignmentFormats="0" applyWidthHeightFormats="1" dataCaption="值" updatedVersion="7" minRefreshableVersion="5" useAutoFormatting="1" itemPrintTitles="1" createdVersion="7" indent="0" outline="1" outlineData="1" multipleFieldFilters="0" chartFormat="2">
  <location ref="A3:E12" firstHeaderRow="0" firstDataRow="1" firstDataCol="1"/>
  <pivotFields count="11">
    <pivotField numFmtId="176" showAll="0">
      <items count="31">
        <item x="0"/>
        <item x="1"/>
        <item x="4"/>
        <item x="12"/>
        <item x="2"/>
        <item x="5"/>
        <item x="6"/>
        <item x="3"/>
        <item x="27"/>
        <item x="28"/>
        <item x="7"/>
        <item x="9"/>
        <item x="8"/>
        <item x="29"/>
        <item x="10"/>
        <item x="13"/>
        <item x="14"/>
        <item x="15"/>
        <item x="16"/>
        <item x="11"/>
        <item x="26"/>
        <item x="25"/>
        <item x="24"/>
        <item x="23"/>
        <item x="22"/>
        <item x="21"/>
        <item x="20"/>
        <item x="19"/>
        <item x="18"/>
        <item x="17"/>
        <item t="default"/>
      </items>
    </pivotField>
    <pivotField axis="axisRow" showAll="0">
      <items count="10">
        <item x="1"/>
        <item x="3"/>
        <item h="1" x="7"/>
        <item x="2"/>
        <item x="6"/>
        <item x="8"/>
        <item x="0"/>
        <item x="4"/>
        <item x="5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</pivotFields>
  <rowFields count="1">
    <field x="1"/>
  </rowFields>
  <rowItems count="9">
    <i>
      <x/>
    </i>
    <i>
      <x v="1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平均值 - 換算幸福感" fld="10" subtotal="average" baseField="0" baseItem="9"/>
    <dataField name="平均值 - 美味度" fld="4" subtotal="average" baseField="0" baseItem="1"/>
    <dataField name="平均值 - 飽足感" fld="5" subtotal="average" baseField="0" baseItem="1"/>
    <dataField name="平均值 - 價格NTD" fld="8" subtotal="average" baseField="1" baseItem="2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8E9A64-5F02-433C-B3F1-E0941DD4AA49}" name="樞紐分析表7" cacheId="0" applyNumberFormats="0" applyBorderFormats="0" applyFontFormats="0" applyPatternFormats="0" applyAlignmentFormats="0" applyWidthHeightFormats="1" dataCaption="值" updatedVersion="7" minRefreshableVersion="5" useAutoFormatting="1" itemPrintTitles="1" createdVersion="7" indent="0" outline="1" outlineData="1" multipleFieldFilters="0" chartFormat="1">
  <location ref="A3:C13" firstHeaderRow="0" firstDataRow="1" firstDataCol="1"/>
  <pivotFields count="11">
    <pivotField numFmtId="176" showAll="0">
      <items count="31">
        <item x="0"/>
        <item x="1"/>
        <item x="4"/>
        <item x="12"/>
        <item x="2"/>
        <item x="5"/>
        <item x="6"/>
        <item x="3"/>
        <item x="27"/>
        <item x="28"/>
        <item x="7"/>
        <item x="9"/>
        <item x="8"/>
        <item x="29"/>
        <item x="10"/>
        <item x="13"/>
        <item x="14"/>
        <item x="15"/>
        <item x="16"/>
        <item x="11"/>
        <item x="26"/>
        <item x="25"/>
        <item x="24"/>
        <item x="23"/>
        <item x="22"/>
        <item x="21"/>
        <item x="20"/>
        <item x="19"/>
        <item x="18"/>
        <item x="17"/>
        <item t="default"/>
      </items>
    </pivotField>
    <pivotField axis="axisRow" showAll="0">
      <items count="10">
        <item x="1"/>
        <item x="3"/>
        <item x="7"/>
        <item x="2"/>
        <item x="6"/>
        <item x="8"/>
        <item x="0"/>
        <item x="4"/>
        <item x="5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平均值 - 美味度" fld="4" subtotal="average" baseField="0" baseItem="1"/>
    <dataField name="平均值 - 飽足感" fld="5" subtotal="average" baseField="0" baseItem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0C044C-23AF-44EF-B211-DBE789B555E9}" name="樞紐分析表6" cacheId="0" applyNumberFormats="0" applyBorderFormats="0" applyFontFormats="0" applyPatternFormats="0" applyAlignmentFormats="0" applyWidthHeightFormats="1" dataCaption="值" updatedVersion="7" minRefreshableVersion="5" useAutoFormatting="1" itemPrintTitles="1" createdVersion="7" indent="0" outline="1" outlineData="1" multipleFieldFilters="0" chartFormat="1">
  <location ref="A3:B13" firstHeaderRow="1" firstDataRow="1" firstDataCol="1"/>
  <pivotFields count="11">
    <pivotField numFmtId="176" showAll="0">
      <items count="31">
        <item x="0"/>
        <item x="1"/>
        <item x="4"/>
        <item x="12"/>
        <item x="2"/>
        <item x="5"/>
        <item x="6"/>
        <item x="3"/>
        <item x="27"/>
        <item x="28"/>
        <item x="7"/>
        <item x="9"/>
        <item x="8"/>
        <item x="29"/>
        <item x="10"/>
        <item x="13"/>
        <item x="14"/>
        <item x="15"/>
        <item x="16"/>
        <item x="11"/>
        <item x="26"/>
        <item x="25"/>
        <item x="24"/>
        <item x="23"/>
        <item x="22"/>
        <item x="21"/>
        <item x="20"/>
        <item x="19"/>
        <item x="18"/>
        <item x="17"/>
        <item t="default"/>
      </items>
    </pivotField>
    <pivotField axis="axisRow" showAll="0">
      <items count="10">
        <item x="1"/>
        <item x="3"/>
        <item x="7"/>
        <item x="2"/>
        <item x="6"/>
        <item x="8"/>
        <item x="0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平均值 - 換算幸福感" fld="10" subtotal="average" baseField="1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3D3C7D-9ECF-44CE-B4ED-C8388A969AA8}" name="樞紐分析表4" cacheId="0" applyNumberFormats="0" applyBorderFormats="0" applyFontFormats="0" applyPatternFormats="0" applyAlignmentFormats="0" applyWidthHeightFormats="1" dataCaption="值" updatedVersion="7" minRefreshableVersion="5" useAutoFormatting="1" itemPrintTitles="1" createdVersion="7" indent="0" outline="1" outlineData="1" multipleFieldFilters="0" chartFormat="1">
  <location ref="A3:C13" firstHeaderRow="0" firstDataRow="1" firstDataCol="1"/>
  <pivotFields count="11">
    <pivotField numFmtId="176" showAll="0">
      <items count="31">
        <item x="0"/>
        <item x="1"/>
        <item x="4"/>
        <item x="12"/>
        <item x="2"/>
        <item x="5"/>
        <item x="6"/>
        <item x="3"/>
        <item x="27"/>
        <item x="28"/>
        <item x="7"/>
        <item x="9"/>
        <item x="8"/>
        <item x="29"/>
        <item x="10"/>
        <item x="13"/>
        <item x="14"/>
        <item x="15"/>
        <item x="16"/>
        <item x="11"/>
        <item x="26"/>
        <item x="25"/>
        <item x="24"/>
        <item x="23"/>
        <item x="22"/>
        <item x="21"/>
        <item x="20"/>
        <item x="19"/>
        <item x="18"/>
        <item x="17"/>
        <item t="default"/>
      </items>
    </pivotField>
    <pivotField axis="axisRow" showAll="0">
      <items count="10">
        <item x="1"/>
        <item x="3"/>
        <item x="7"/>
        <item x="2"/>
        <item x="6"/>
        <item x="8"/>
        <item x="0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加總 - 價格NTD" fld="8" baseField="0" baseItem="1"/>
    <dataField name="加總 - 價格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0C81-511F-4562-87C3-0FCDB5BD04F3}" name="樞紐分析表2" cacheId="0" applyNumberFormats="0" applyBorderFormats="0" applyFontFormats="0" applyPatternFormats="0" applyAlignmentFormats="0" applyWidthHeightFormats="1" dataCaption="值" updatedVersion="7" minRefreshableVersion="5" useAutoFormatting="1" itemPrintTitles="1" createdVersion="7" indent="0" outline="1" outlineData="1" multipleFieldFilters="0" chartFormat="1">
  <location ref="A3:B13" firstHeaderRow="1" firstDataRow="1" firstDataCol="1"/>
  <pivotFields count="11">
    <pivotField dataField="1" numFmtId="176" showAll="0">
      <items count="31">
        <item x="0"/>
        <item x="1"/>
        <item x="4"/>
        <item x="12"/>
        <item x="2"/>
        <item x="5"/>
        <item x="6"/>
        <item x="3"/>
        <item x="27"/>
        <item x="28"/>
        <item x="7"/>
        <item x="9"/>
        <item x="8"/>
        <item x="29"/>
        <item x="10"/>
        <item x="13"/>
        <item x="14"/>
        <item x="15"/>
        <item x="16"/>
        <item x="11"/>
        <item x="26"/>
        <item x="25"/>
        <item x="24"/>
        <item x="23"/>
        <item x="22"/>
        <item x="21"/>
        <item x="20"/>
        <item x="19"/>
        <item x="18"/>
        <item x="17"/>
        <item t="default"/>
      </items>
    </pivotField>
    <pivotField axis="axisRow" showAll="0">
      <items count="10">
        <item x="1"/>
        <item x="3"/>
        <item x="7"/>
        <item x="2"/>
        <item x="6"/>
        <item x="8"/>
        <item x="0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計數 - 日期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CC122-DB5A-4D95-8A10-E2AF70F5A65A}" name="樞紐分析表3" cacheId="0" applyNumberFormats="0" applyBorderFormats="0" applyFontFormats="0" applyPatternFormats="0" applyAlignmentFormats="0" applyWidthHeightFormats="1" dataCaption="值" updatedVersion="7" minRefreshableVersion="5" useAutoFormatting="1" itemPrintTitles="1" createdVersion="7" indent="0" outline="1" outlineData="1" multipleFieldFilters="0" chartFormat="6">
  <location ref="A3:C13" firstHeaderRow="0" firstDataRow="1" firstDataCol="1"/>
  <pivotFields count="11">
    <pivotField numFmtId="176" showAll="0">
      <items count="31">
        <item x="0"/>
        <item x="1"/>
        <item x="4"/>
        <item x="12"/>
        <item x="2"/>
        <item x="5"/>
        <item x="6"/>
        <item x="3"/>
        <item x="27"/>
        <item x="28"/>
        <item x="7"/>
        <item x="9"/>
        <item x="8"/>
        <item x="29"/>
        <item x="10"/>
        <item x="13"/>
        <item x="14"/>
        <item x="15"/>
        <item x="16"/>
        <item x="11"/>
        <item x="26"/>
        <item x="25"/>
        <item x="24"/>
        <item x="23"/>
        <item x="22"/>
        <item x="21"/>
        <item x="20"/>
        <item x="19"/>
        <item x="18"/>
        <item x="17"/>
        <item t="default"/>
      </items>
    </pivotField>
    <pivotField axis="axisRow" showAll="0">
      <items count="10">
        <item x="1"/>
        <item x="3"/>
        <item x="7"/>
        <item x="2"/>
        <item x="6"/>
        <item x="8"/>
        <item x="0"/>
        <item x="4"/>
        <item x="5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加總 - 熱量Kcal" fld="6" baseField="1" baseItem="0"/>
    <dataField name="加總 - 熱量" fld="7" baseField="0" baseItem="0"/>
  </dataFields>
  <chartFormats count="2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日期" xr10:uid="{3E2C1C6C-3B67-4F60-97D7-62FF6CAF51A8}" sourceName="日期">
  <pivotTables>
    <pivotTable tabId="20" name="樞紐分析表2"/>
  </pivotTables>
  <state minimalRefreshVersion="6" lastRefreshVersion="6" pivotCacheId="487800320" filterType="unknown">
    <bounds startDate="2024-01-01T00:00:00" endDate="2025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日期1" xr10:uid="{F547649A-F8B4-4339-A0B4-662FC7A67D59}" sourceName="日期">
  <pivotTables>
    <pivotTable tabId="21" name="樞紐分析表3"/>
  </pivotTables>
  <state minimalRefreshVersion="6" lastRefreshVersion="6" pivotCacheId="487800320" filterType="unknown">
    <bounds startDate="2024-01-01T00:00:00" endDate="2025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日期2" xr10:uid="{08106627-BF06-4DB1-BE9E-6B12197BABA6}" sourceName="日期">
  <pivotTables>
    <pivotTable tabId="22" name="樞紐分析表4"/>
  </pivotTables>
  <state minimalRefreshVersion="6" lastRefreshVersion="6" pivotCacheId="487800320" filterType="unknown">
    <bounds startDate="2024-01-01T00:00:00" endDate="2025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日期3" xr10:uid="{633E65A9-78E6-484C-9CDC-20D13C376BDE}" sourceName="日期">
  <pivotTables>
    <pivotTable tabId="23" name="樞紐分析表6"/>
  </pivotTables>
  <state minimalRefreshVersion="6" lastRefreshVersion="6" pivotCacheId="487800320" filterType="unknown">
    <bounds startDate="2024-01-01T00:00:00" endDate="2025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日期4" xr10:uid="{98B60682-201F-4D67-BFA6-DC239DABA079}" sourceName="日期">
  <pivotTables>
    <pivotTable tabId="24" name="樞紐分析表7"/>
  </pivotTables>
  <state minimalRefreshVersion="6" lastRefreshVersion="6" pivotCacheId="487800320" filterType="unknown">
    <bounds startDate="2024-01-01T00:00:00" endDate="2025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日期5" xr10:uid="{1A3EF990-0113-4C77-97F7-193A9ED358C8}" sourceName="日期">
  <pivotTables>
    <pivotTable tabId="25" name="樞紐分析表8"/>
  </pivotTables>
  <state minimalRefreshVersion="6" lastRefreshVersion="6" pivotCacheId="487800320" filterType="unknown">
    <bounds startDate="2024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日期 5" xr10:uid="{13AD544E-4C32-4939-A825-B8F679296828}" cache="NativeTimeline_日期5" caption="日期" level="2" selectionLevel="2" scrollPosition="2024-08-23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日期 4" xr10:uid="{6121CE44-A953-4C61-99A0-5F0ED910C0B2}" cache="NativeTimeline_日期4" caption="日期" level="2" selectionLevel="2" scrollPosition="2024-08-23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日期 3" xr10:uid="{91E01205-5994-4AED-ABD9-A685F43979BE}" cache="NativeTimeline_日期3" caption="日期" level="2" selectionLevel="2" scrollPosition="2024-08-23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日期 2" xr10:uid="{89EA2DD4-94B6-4357-8DFF-E0D83451CC8C}" cache="NativeTimeline_日期2" caption="日期" level="2" selectionLevel="2" scrollPosition="2024-08-23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日期" xr10:uid="{7A5C481B-F20F-441D-B0C3-2B6D1E8C52CE}" cache="NativeTimeline_日期" caption="日期" level="3" selectionLevel="3" scrollPosition="2024-01-01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日期 1" xr10:uid="{A6439761-5599-4649-9A98-9EC8A68A6980}" cache="NativeTimeline_日期1" caption="日期" level="2" selectionLevel="2" scrollPosition="2024-08-23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11/relationships/timeline" Target="../timelines/timeline3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3" Type="http://schemas.microsoft.com/office/2011/relationships/timeline" Target="../timelines/timeline4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1/relationships/timeline" Target="../timelines/timeline5.x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Relationship Id="rId4" Type="http://schemas.microsoft.com/office/2011/relationships/timeline" Target="../timelines/timelin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DABD0-C600-428D-A9AD-BAAE2759424D}">
  <sheetPr codeName="工作表1"/>
  <dimension ref="A1:L113"/>
  <sheetViews>
    <sheetView topLeftCell="A107" workbookViewId="0">
      <selection activeCell="D128" sqref="D128"/>
    </sheetView>
  </sheetViews>
  <sheetFormatPr defaultRowHeight="16.149999999999999"/>
  <cols>
    <col min="1" max="1" width="23.6640625" style="3" customWidth="1"/>
    <col min="2" max="3" width="12.796875" style="3" customWidth="1"/>
    <col min="4" max="4" width="22.19921875" style="3" customWidth="1"/>
    <col min="5" max="5" width="12.796875" style="3" customWidth="1"/>
    <col min="6" max="6" width="12.796875" customWidth="1"/>
    <col min="7" max="7" width="22.19921875" style="3" customWidth="1"/>
    <col min="8" max="8" width="12.796875" style="3" customWidth="1"/>
    <col min="9" max="9" width="12.796875" customWidth="1"/>
    <col min="10" max="10" width="22.19921875" style="3" customWidth="1"/>
    <col min="11" max="12" width="12.796875" style="3" customWidth="1"/>
  </cols>
  <sheetData>
    <row r="1" spans="1:12">
      <c r="A1" s="4" t="s">
        <v>0</v>
      </c>
    </row>
    <row r="2" spans="1:12" ht="18" customHeight="1">
      <c r="A2" s="1" t="s">
        <v>1</v>
      </c>
      <c r="B2" s="1" t="s">
        <v>2</v>
      </c>
      <c r="C2" s="2" t="s">
        <v>3</v>
      </c>
      <c r="D2"/>
      <c r="E2"/>
      <c r="G2"/>
      <c r="H2"/>
      <c r="J2"/>
      <c r="K2"/>
      <c r="L2"/>
    </row>
    <row r="3" spans="1:12">
      <c r="A3" s="3" t="s">
        <v>7</v>
      </c>
      <c r="B3" s="3">
        <v>386.83</v>
      </c>
      <c r="C3" s="3">
        <v>59</v>
      </c>
      <c r="F3" s="3"/>
      <c r="I3" s="3"/>
    </row>
    <row r="4" spans="1:12">
      <c r="A4" s="3" t="s">
        <v>10</v>
      </c>
      <c r="B4" s="3">
        <v>316</v>
      </c>
      <c r="C4" s="3">
        <v>49</v>
      </c>
      <c r="F4" s="3"/>
      <c r="I4" s="3"/>
    </row>
    <row r="5" spans="1:12">
      <c r="A5" s="3" t="s">
        <v>13</v>
      </c>
      <c r="B5" s="3">
        <v>506.98</v>
      </c>
      <c r="C5" s="3">
        <v>79</v>
      </c>
      <c r="F5" s="3"/>
      <c r="I5" s="3"/>
    </row>
    <row r="6" spans="1:12">
      <c r="A6" s="3" t="s">
        <v>16</v>
      </c>
      <c r="B6" s="3">
        <v>287.43</v>
      </c>
      <c r="C6" s="3">
        <v>52</v>
      </c>
      <c r="F6" s="3"/>
      <c r="I6" s="3"/>
    </row>
    <row r="7" spans="1:12">
      <c r="A7" s="3" t="s">
        <v>19</v>
      </c>
      <c r="B7" s="3">
        <v>410.26</v>
      </c>
      <c r="C7" s="3">
        <v>63</v>
      </c>
      <c r="F7" s="3"/>
      <c r="I7" s="3"/>
    </row>
    <row r="8" spans="1:12">
      <c r="A8" s="3" t="s">
        <v>22</v>
      </c>
      <c r="B8" s="3">
        <v>308.85000000000002</v>
      </c>
      <c r="C8" s="3">
        <v>52</v>
      </c>
      <c r="F8" s="3"/>
      <c r="I8" s="3"/>
    </row>
    <row r="9" spans="1:12">
      <c r="A9" s="3" t="s">
        <v>25</v>
      </c>
      <c r="B9" s="3">
        <v>288.11</v>
      </c>
      <c r="C9" s="3">
        <v>38</v>
      </c>
      <c r="F9" s="3"/>
      <c r="I9" s="3"/>
    </row>
    <row r="10" spans="1:12">
      <c r="A10" s="3" t="s">
        <v>28</v>
      </c>
      <c r="B10" s="3">
        <v>441</v>
      </c>
      <c r="C10" s="3">
        <v>89</v>
      </c>
      <c r="F10" s="3"/>
      <c r="I10" s="3"/>
    </row>
    <row r="11" spans="1:12">
      <c r="A11" s="3" t="s">
        <v>31</v>
      </c>
      <c r="B11" s="3">
        <v>421</v>
      </c>
      <c r="C11" s="3">
        <v>70</v>
      </c>
      <c r="F11" s="3"/>
      <c r="I11" s="3"/>
    </row>
    <row r="12" spans="1:12">
      <c r="A12" s="3" t="s">
        <v>34</v>
      </c>
      <c r="B12" s="3">
        <v>244</v>
      </c>
      <c r="C12" s="3">
        <v>55</v>
      </c>
      <c r="F12" s="3"/>
      <c r="I12" s="3"/>
    </row>
    <row r="13" spans="1:12">
      <c r="A13" s="3" t="s">
        <v>37</v>
      </c>
      <c r="B13" s="3">
        <v>664</v>
      </c>
      <c r="C13" s="3">
        <v>115</v>
      </c>
      <c r="F13" s="3"/>
      <c r="I13" s="3"/>
    </row>
    <row r="14" spans="1:12">
      <c r="A14" s="3" t="s">
        <v>40</v>
      </c>
      <c r="B14" s="3">
        <v>439</v>
      </c>
      <c r="C14" s="3">
        <v>70</v>
      </c>
      <c r="F14" s="3"/>
      <c r="I14" s="3"/>
    </row>
    <row r="15" spans="1:12">
      <c r="A15" s="3" t="s">
        <v>43</v>
      </c>
      <c r="B15" s="3">
        <v>319</v>
      </c>
      <c r="C15" s="3">
        <v>55</v>
      </c>
      <c r="F15" s="3"/>
      <c r="I15" s="3"/>
    </row>
    <row r="16" spans="1:12">
      <c r="A16" s="3" t="s">
        <v>44</v>
      </c>
      <c r="B16" s="3">
        <v>337.81</v>
      </c>
      <c r="C16" s="3">
        <v>60</v>
      </c>
      <c r="F16" s="3"/>
      <c r="I16" s="3"/>
    </row>
    <row r="17" spans="1:9">
      <c r="A17" s="3" t="s">
        <v>29</v>
      </c>
      <c r="B17" s="3">
        <v>266.42</v>
      </c>
      <c r="C17" s="3">
        <v>69</v>
      </c>
      <c r="F17" s="3"/>
      <c r="I17" s="3"/>
    </row>
    <row r="18" spans="1:9">
      <c r="A18" s="3" t="s">
        <v>32</v>
      </c>
      <c r="B18" s="3">
        <v>444</v>
      </c>
      <c r="C18" s="3">
        <v>109</v>
      </c>
      <c r="F18" s="3"/>
      <c r="I18" s="3"/>
    </row>
    <row r="19" spans="1:9">
      <c r="A19" s="3" t="s">
        <v>49</v>
      </c>
      <c r="B19" s="3">
        <v>378.79</v>
      </c>
      <c r="C19" s="3">
        <v>42</v>
      </c>
      <c r="F19" s="3"/>
      <c r="I19" s="3"/>
    </row>
    <row r="20" spans="1:9" ht="18" customHeight="1">
      <c r="A20" s="1" t="s">
        <v>4</v>
      </c>
      <c r="B20" s="1" t="s">
        <v>2</v>
      </c>
      <c r="C20" s="2" t="s">
        <v>3</v>
      </c>
      <c r="F20" s="3"/>
      <c r="I20" s="3"/>
    </row>
    <row r="21" spans="1:9">
      <c r="A21" s="3" t="s">
        <v>8</v>
      </c>
      <c r="B21" s="3">
        <v>602</v>
      </c>
      <c r="C21" s="3">
        <v>80</v>
      </c>
      <c r="F21" s="3"/>
      <c r="I21" s="3"/>
    </row>
    <row r="22" spans="1:9">
      <c r="A22" s="3" t="s">
        <v>11</v>
      </c>
      <c r="B22" s="3">
        <v>475</v>
      </c>
      <c r="C22" s="3">
        <v>75</v>
      </c>
      <c r="F22" s="3"/>
      <c r="I22" s="3"/>
    </row>
    <row r="23" spans="1:9">
      <c r="A23" s="3" t="s">
        <v>14</v>
      </c>
      <c r="B23" s="3">
        <v>541.29</v>
      </c>
      <c r="C23" s="3">
        <v>90</v>
      </c>
      <c r="F23" s="3"/>
      <c r="I23" s="3"/>
    </row>
    <row r="24" spans="1:9">
      <c r="A24" s="3" t="s">
        <v>17</v>
      </c>
      <c r="B24" s="3">
        <v>779.94</v>
      </c>
      <c r="C24" s="3">
        <v>135</v>
      </c>
      <c r="F24" s="3"/>
      <c r="I24" s="3"/>
    </row>
    <row r="25" spans="1:9">
      <c r="A25" s="3" t="s">
        <v>20</v>
      </c>
      <c r="B25" s="3">
        <v>393.02</v>
      </c>
      <c r="C25" s="3">
        <v>49</v>
      </c>
      <c r="F25" s="3"/>
      <c r="I25" s="3"/>
    </row>
    <row r="26" spans="1:9">
      <c r="A26" s="3" t="s">
        <v>23</v>
      </c>
      <c r="B26" s="3">
        <v>528.62</v>
      </c>
      <c r="C26" s="3">
        <v>79</v>
      </c>
      <c r="F26" s="3"/>
      <c r="I26" s="3"/>
    </row>
    <row r="27" spans="1:9">
      <c r="A27" s="3" t="s">
        <v>26</v>
      </c>
      <c r="B27" s="3">
        <v>391.17</v>
      </c>
      <c r="C27" s="3">
        <v>80</v>
      </c>
      <c r="F27" s="3"/>
      <c r="I27" s="3"/>
    </row>
    <row r="28" spans="1:9">
      <c r="A28" s="3" t="s">
        <v>29</v>
      </c>
      <c r="B28" s="3">
        <v>266.42</v>
      </c>
      <c r="C28" s="3">
        <v>69</v>
      </c>
      <c r="F28" s="3"/>
      <c r="I28" s="3"/>
    </row>
    <row r="29" spans="1:9">
      <c r="A29" s="3" t="s">
        <v>32</v>
      </c>
      <c r="B29" s="3">
        <v>444</v>
      </c>
      <c r="C29" s="3">
        <v>109</v>
      </c>
      <c r="F29" s="3"/>
      <c r="I29" s="3"/>
    </row>
    <row r="30" spans="1:9">
      <c r="A30" s="3" t="s">
        <v>35</v>
      </c>
      <c r="B30" s="3">
        <v>536.52</v>
      </c>
      <c r="C30" s="3">
        <v>80</v>
      </c>
      <c r="F30" s="3"/>
      <c r="I30" s="3"/>
    </row>
    <row r="31" spans="1:9">
      <c r="A31" s="3" t="s">
        <v>38</v>
      </c>
      <c r="B31" s="3">
        <v>699.81</v>
      </c>
      <c r="C31" s="3">
        <v>125</v>
      </c>
      <c r="F31" s="3"/>
      <c r="I31" s="3"/>
    </row>
    <row r="32" spans="1:9">
      <c r="A32" s="3" t="s">
        <v>41</v>
      </c>
      <c r="B32" s="3">
        <v>714.4</v>
      </c>
      <c r="C32" s="3">
        <v>125</v>
      </c>
      <c r="F32" s="3"/>
      <c r="I32" s="3"/>
    </row>
    <row r="33" spans="1:9">
      <c r="A33" s="3" t="s">
        <v>44</v>
      </c>
      <c r="B33" s="3">
        <v>337.89</v>
      </c>
      <c r="C33" s="3">
        <v>60</v>
      </c>
      <c r="F33" s="3"/>
      <c r="I33" s="3"/>
    </row>
    <row r="34" spans="1:9">
      <c r="A34" s="3" t="s">
        <v>46</v>
      </c>
      <c r="B34" s="3">
        <v>543.46</v>
      </c>
      <c r="C34" s="3">
        <v>120</v>
      </c>
      <c r="F34" s="3"/>
      <c r="I34" s="3"/>
    </row>
    <row r="35" spans="1:9">
      <c r="A35" s="3" t="s">
        <v>47</v>
      </c>
      <c r="B35" s="3">
        <v>456.73</v>
      </c>
      <c r="C35" s="3">
        <v>120</v>
      </c>
      <c r="F35" s="3"/>
      <c r="I35" s="3"/>
    </row>
    <row r="36" spans="1:9">
      <c r="A36" s="3" t="s">
        <v>48</v>
      </c>
      <c r="B36" s="3">
        <v>560.19000000000005</v>
      </c>
      <c r="C36" s="3">
        <v>125</v>
      </c>
      <c r="F36" s="3"/>
      <c r="I36" s="3"/>
    </row>
    <row r="37" spans="1:9">
      <c r="A37" s="3" t="s">
        <v>50</v>
      </c>
      <c r="B37" s="3">
        <v>715.67</v>
      </c>
      <c r="C37" s="3">
        <v>125</v>
      </c>
      <c r="F37" s="3"/>
      <c r="I37" s="3"/>
    </row>
    <row r="38" spans="1:9">
      <c r="A38" s="3" t="s">
        <v>51</v>
      </c>
      <c r="B38" s="3">
        <v>592.74</v>
      </c>
      <c r="C38" s="3">
        <v>130</v>
      </c>
      <c r="F38" s="3"/>
      <c r="I38" s="3"/>
    </row>
    <row r="39" spans="1:9">
      <c r="A39" s="3" t="s">
        <v>52</v>
      </c>
      <c r="B39" s="3">
        <v>743.74</v>
      </c>
      <c r="C39" s="3">
        <v>130</v>
      </c>
      <c r="F39" s="3"/>
      <c r="I39" s="3"/>
    </row>
    <row r="40" spans="1:9">
      <c r="A40" s="3" t="s">
        <v>53</v>
      </c>
      <c r="B40" s="3">
        <v>360</v>
      </c>
      <c r="C40" s="3">
        <v>110</v>
      </c>
      <c r="F40" s="3"/>
      <c r="I40" s="3"/>
    </row>
    <row r="41" spans="1:9">
      <c r="A41" s="3" t="s">
        <v>54</v>
      </c>
      <c r="B41" s="3">
        <v>261</v>
      </c>
      <c r="C41" s="3">
        <v>110</v>
      </c>
      <c r="F41" s="3"/>
      <c r="I41" s="3"/>
    </row>
    <row r="42" spans="1:9">
      <c r="A42" s="3" t="s">
        <v>55</v>
      </c>
      <c r="B42" s="3">
        <v>556.27</v>
      </c>
      <c r="C42" s="3">
        <v>65</v>
      </c>
      <c r="F42" s="3"/>
      <c r="I42" s="3"/>
    </row>
    <row r="43" spans="1:9">
      <c r="A43" s="3" t="s">
        <v>56</v>
      </c>
      <c r="B43" s="3">
        <v>200.88</v>
      </c>
      <c r="C43" s="3">
        <v>70</v>
      </c>
      <c r="F43" s="3"/>
      <c r="I43" s="3"/>
    </row>
    <row r="44" spans="1:9">
      <c r="A44" s="3" t="s">
        <v>57</v>
      </c>
      <c r="B44" s="3">
        <v>546.51</v>
      </c>
      <c r="C44" s="3">
        <v>84</v>
      </c>
      <c r="F44" s="3"/>
      <c r="I44" s="3"/>
    </row>
    <row r="45" spans="1:9">
      <c r="A45" s="3" t="s">
        <v>58</v>
      </c>
      <c r="B45" s="3">
        <v>762.96</v>
      </c>
      <c r="C45" s="3">
        <v>99</v>
      </c>
      <c r="F45" s="3"/>
      <c r="I45" s="3"/>
    </row>
    <row r="46" spans="1:9">
      <c r="A46" s="3" t="s">
        <v>59</v>
      </c>
      <c r="B46" s="3">
        <v>717.66</v>
      </c>
      <c r="C46" s="3">
        <v>99</v>
      </c>
      <c r="F46" s="3"/>
      <c r="I46" s="3"/>
    </row>
    <row r="47" spans="1:9">
      <c r="A47" s="1" t="s">
        <v>5</v>
      </c>
      <c r="B47" s="1" t="s">
        <v>2</v>
      </c>
      <c r="C47" s="2" t="s">
        <v>3</v>
      </c>
      <c r="F47" s="3"/>
      <c r="I47" s="3"/>
    </row>
    <row r="48" spans="1:9">
      <c r="A48" s="3" t="s">
        <v>8</v>
      </c>
      <c r="B48" s="3">
        <v>602</v>
      </c>
      <c r="C48" s="3">
        <v>80</v>
      </c>
      <c r="F48" s="3"/>
      <c r="I48" s="3"/>
    </row>
    <row r="49" spans="1:9">
      <c r="A49" s="3" t="s">
        <v>11</v>
      </c>
      <c r="B49" s="3">
        <v>475</v>
      </c>
      <c r="C49" s="3">
        <v>75</v>
      </c>
      <c r="F49" s="3"/>
      <c r="I49" s="3"/>
    </row>
    <row r="50" spans="1:9">
      <c r="A50" s="3" t="s">
        <v>14</v>
      </c>
      <c r="B50" s="3">
        <v>541.29</v>
      </c>
      <c r="C50" s="3">
        <v>90</v>
      </c>
      <c r="F50" s="3"/>
      <c r="I50" s="3"/>
    </row>
    <row r="51" spans="1:9">
      <c r="A51" s="3" t="s">
        <v>17</v>
      </c>
      <c r="B51" s="3">
        <v>779.94</v>
      </c>
      <c r="C51" s="3">
        <v>135</v>
      </c>
      <c r="F51" s="3"/>
      <c r="I51" s="3"/>
    </row>
    <row r="52" spans="1:9">
      <c r="A52" s="3" t="s">
        <v>20</v>
      </c>
      <c r="B52" s="3">
        <v>393.02</v>
      </c>
      <c r="C52" s="3">
        <v>49</v>
      </c>
      <c r="F52" s="3"/>
      <c r="I52" s="3"/>
    </row>
    <row r="53" spans="1:9">
      <c r="A53" s="3" t="s">
        <v>23</v>
      </c>
      <c r="B53" s="3">
        <v>528.62</v>
      </c>
      <c r="C53" s="3">
        <v>79</v>
      </c>
      <c r="F53" s="3"/>
      <c r="I53" s="3"/>
    </row>
    <row r="54" spans="1:9">
      <c r="A54" s="3" t="s">
        <v>26</v>
      </c>
      <c r="B54" s="3">
        <v>391.17</v>
      </c>
      <c r="C54" s="3">
        <v>80</v>
      </c>
      <c r="F54" s="3"/>
      <c r="I54" s="3"/>
    </row>
    <row r="55" spans="1:9">
      <c r="A55" s="3" t="s">
        <v>29</v>
      </c>
      <c r="B55" s="3">
        <v>266.42</v>
      </c>
      <c r="C55" s="3">
        <v>69</v>
      </c>
      <c r="F55" s="3"/>
      <c r="I55" s="3"/>
    </row>
    <row r="56" spans="1:9">
      <c r="A56" s="3" t="s">
        <v>32</v>
      </c>
      <c r="B56" s="3">
        <v>444</v>
      </c>
      <c r="C56" s="3">
        <v>109</v>
      </c>
      <c r="F56" s="3"/>
      <c r="I56" s="3"/>
    </row>
    <row r="57" spans="1:9">
      <c r="A57" s="3" t="s">
        <v>35</v>
      </c>
      <c r="B57" s="3">
        <v>536.52</v>
      </c>
      <c r="C57" s="3">
        <v>80</v>
      </c>
      <c r="F57" s="3"/>
      <c r="I57" s="3"/>
    </row>
    <row r="58" spans="1:9">
      <c r="A58" s="3" t="s">
        <v>38</v>
      </c>
      <c r="B58" s="3">
        <v>699.81</v>
      </c>
      <c r="C58" s="3">
        <v>125</v>
      </c>
      <c r="F58" s="3"/>
      <c r="I58" s="3"/>
    </row>
    <row r="59" spans="1:9">
      <c r="A59" s="3" t="s">
        <v>41</v>
      </c>
      <c r="B59" s="3">
        <v>714.4</v>
      </c>
      <c r="C59" s="3">
        <v>125</v>
      </c>
      <c r="F59" s="3"/>
      <c r="I59" s="3"/>
    </row>
    <row r="60" spans="1:9">
      <c r="A60" s="3" t="s">
        <v>44</v>
      </c>
      <c r="B60" s="3">
        <v>337.89</v>
      </c>
      <c r="C60" s="3">
        <v>60</v>
      </c>
      <c r="F60" s="3"/>
      <c r="I60" s="3"/>
    </row>
    <row r="61" spans="1:9">
      <c r="A61" s="3" t="s">
        <v>46</v>
      </c>
      <c r="B61" s="3">
        <v>543.46</v>
      </c>
      <c r="C61" s="3">
        <v>120</v>
      </c>
      <c r="F61" s="3"/>
      <c r="I61" s="3"/>
    </row>
    <row r="62" spans="1:9">
      <c r="A62" s="3" t="s">
        <v>47</v>
      </c>
      <c r="B62" s="3">
        <v>456.73</v>
      </c>
      <c r="C62" s="3">
        <v>120</v>
      </c>
      <c r="F62" s="3"/>
      <c r="I62" s="3"/>
    </row>
    <row r="63" spans="1:9">
      <c r="A63" s="3" t="s">
        <v>48</v>
      </c>
      <c r="B63" s="3">
        <v>560.19000000000005</v>
      </c>
      <c r="C63" s="3">
        <v>125</v>
      </c>
      <c r="F63" s="3"/>
      <c r="I63" s="3"/>
    </row>
    <row r="64" spans="1:9">
      <c r="A64" s="3" t="s">
        <v>50</v>
      </c>
      <c r="B64" s="3">
        <v>715.67</v>
      </c>
      <c r="C64" s="3">
        <v>125</v>
      </c>
      <c r="F64" s="3"/>
      <c r="I64" s="3"/>
    </row>
    <row r="65" spans="1:9">
      <c r="A65" s="3" t="s">
        <v>51</v>
      </c>
      <c r="B65" s="3">
        <v>592.74</v>
      </c>
      <c r="C65" s="3">
        <v>130</v>
      </c>
      <c r="F65" s="3"/>
      <c r="I65" s="3"/>
    </row>
    <row r="66" spans="1:9">
      <c r="A66" s="3" t="s">
        <v>52</v>
      </c>
      <c r="B66" s="3">
        <v>743.74</v>
      </c>
      <c r="C66" s="3">
        <v>130</v>
      </c>
      <c r="F66" s="3"/>
      <c r="I66" s="3"/>
    </row>
    <row r="67" spans="1:9">
      <c r="A67" s="3" t="s">
        <v>53</v>
      </c>
      <c r="B67" s="3">
        <v>360</v>
      </c>
      <c r="C67" s="3">
        <v>110</v>
      </c>
      <c r="F67" s="3"/>
      <c r="I67" s="3"/>
    </row>
    <row r="68" spans="1:9">
      <c r="A68" s="3" t="s">
        <v>54</v>
      </c>
      <c r="B68" s="3">
        <v>261</v>
      </c>
      <c r="C68" s="3">
        <v>110</v>
      </c>
    </row>
    <row r="69" spans="1:9">
      <c r="A69" s="3" t="s">
        <v>55</v>
      </c>
      <c r="B69" s="3">
        <v>556.27</v>
      </c>
      <c r="C69" s="3">
        <v>65</v>
      </c>
    </row>
    <row r="70" spans="1:9">
      <c r="A70" s="3" t="s">
        <v>56</v>
      </c>
      <c r="B70" s="3">
        <v>200.88</v>
      </c>
      <c r="C70" s="3">
        <v>70</v>
      </c>
    </row>
    <row r="71" spans="1:9">
      <c r="A71" s="3" t="s">
        <v>57</v>
      </c>
      <c r="B71" s="3">
        <v>546.51</v>
      </c>
      <c r="C71" s="3">
        <v>84</v>
      </c>
    </row>
    <row r="72" spans="1:9">
      <c r="A72" s="3" t="s">
        <v>58</v>
      </c>
      <c r="B72" s="3">
        <v>762.96</v>
      </c>
      <c r="C72" s="3">
        <v>99</v>
      </c>
    </row>
    <row r="73" spans="1:9">
      <c r="A73" s="3" t="s">
        <v>59</v>
      </c>
      <c r="B73" s="3">
        <v>717.66</v>
      </c>
      <c r="C73" s="3">
        <v>99</v>
      </c>
    </row>
    <row r="74" spans="1:9">
      <c r="A74" s="1" t="s">
        <v>6</v>
      </c>
      <c r="B74" s="1" t="s">
        <v>2</v>
      </c>
      <c r="C74" s="2" t="s">
        <v>3</v>
      </c>
    </row>
    <row r="75" spans="1:9">
      <c r="A75" s="3" t="s">
        <v>9</v>
      </c>
      <c r="B75" s="3">
        <v>216.84</v>
      </c>
      <c r="C75" s="3">
        <v>39</v>
      </c>
    </row>
    <row r="76" spans="1:9">
      <c r="A76" s="3" t="s">
        <v>12</v>
      </c>
      <c r="B76" s="3">
        <v>168.49</v>
      </c>
      <c r="C76" s="3">
        <v>37</v>
      </c>
    </row>
    <row r="77" spans="1:9">
      <c r="A77" s="3" t="s">
        <v>15</v>
      </c>
      <c r="B77" s="3">
        <v>37</v>
      </c>
      <c r="C77" s="3">
        <v>55</v>
      </c>
    </row>
    <row r="78" spans="1:9">
      <c r="A78" s="3" t="s">
        <v>18</v>
      </c>
      <c r="B78" s="3">
        <v>39.479999999999997</v>
      </c>
      <c r="C78" s="3">
        <v>42</v>
      </c>
    </row>
    <row r="79" spans="1:9">
      <c r="A79" s="3" t="s">
        <v>21</v>
      </c>
      <c r="B79" s="3">
        <v>145</v>
      </c>
      <c r="C79" s="3">
        <v>18</v>
      </c>
    </row>
    <row r="80" spans="1:9">
      <c r="A80" s="3" t="s">
        <v>24</v>
      </c>
      <c r="B80" s="3">
        <v>202</v>
      </c>
      <c r="C80" s="3">
        <v>30</v>
      </c>
    </row>
    <row r="81" spans="1:3">
      <c r="A81" s="3" t="s">
        <v>27</v>
      </c>
      <c r="B81" s="3">
        <v>311.72000000000003</v>
      </c>
      <c r="C81" s="3">
        <v>60</v>
      </c>
    </row>
    <row r="82" spans="1:3">
      <c r="A82" s="3" t="s">
        <v>30</v>
      </c>
      <c r="B82" s="3">
        <v>381.72</v>
      </c>
      <c r="C82" s="3">
        <v>66</v>
      </c>
    </row>
    <row r="83" spans="1:3">
      <c r="A83" s="3" t="s">
        <v>33</v>
      </c>
      <c r="B83" s="3">
        <v>240.94</v>
      </c>
      <c r="C83" s="3">
        <v>40</v>
      </c>
    </row>
    <row r="84" spans="1:3">
      <c r="A84" s="3" t="s">
        <v>36</v>
      </c>
      <c r="B84" s="3">
        <v>345.97</v>
      </c>
      <c r="C84" s="3">
        <v>50</v>
      </c>
    </row>
    <row r="85" spans="1:3">
      <c r="A85" s="3" t="s">
        <v>39</v>
      </c>
      <c r="B85" s="3">
        <v>472.57</v>
      </c>
      <c r="C85" s="3">
        <v>66</v>
      </c>
    </row>
    <row r="86" spans="1:3">
      <c r="A86" s="3" t="s">
        <v>42</v>
      </c>
      <c r="B86" s="3">
        <v>93</v>
      </c>
      <c r="C86" s="3">
        <v>43</v>
      </c>
    </row>
    <row r="87" spans="1:3">
      <c r="A87" s="3" t="s">
        <v>45</v>
      </c>
      <c r="B87" s="3">
        <v>140</v>
      </c>
      <c r="C87" s="3">
        <v>55</v>
      </c>
    </row>
    <row r="88" spans="1:3">
      <c r="A88" s="3" t="s">
        <v>72</v>
      </c>
      <c r="B88" s="3">
        <v>249.53</v>
      </c>
      <c r="C88" s="3">
        <v>49</v>
      </c>
    </row>
    <row r="89" spans="1:3">
      <c r="A89" s="3" t="s">
        <v>73</v>
      </c>
      <c r="B89" s="3">
        <v>178</v>
      </c>
      <c r="C89" s="3">
        <v>46</v>
      </c>
    </row>
    <row r="90" spans="1:3">
      <c r="A90" s="3" t="s">
        <v>29</v>
      </c>
      <c r="B90" s="3">
        <v>266.42</v>
      </c>
      <c r="C90" s="3">
        <v>66</v>
      </c>
    </row>
    <row r="91" spans="1:3">
      <c r="A91" s="3" t="s">
        <v>32</v>
      </c>
      <c r="B91" s="3">
        <v>444</v>
      </c>
      <c r="C91" s="3">
        <v>106</v>
      </c>
    </row>
    <row r="92" spans="1:3">
      <c r="A92" s="3" t="s">
        <v>74</v>
      </c>
      <c r="B92" s="3">
        <v>429</v>
      </c>
      <c r="C92" s="3">
        <v>60</v>
      </c>
    </row>
    <row r="93" spans="1:3">
      <c r="A93" s="3" t="s">
        <v>75</v>
      </c>
      <c r="B93" s="3">
        <v>276</v>
      </c>
      <c r="C93" s="3">
        <v>33</v>
      </c>
    </row>
    <row r="94" spans="1:3">
      <c r="A94" s="3" t="s">
        <v>76</v>
      </c>
      <c r="B94" s="3">
        <v>325</v>
      </c>
      <c r="C94" s="3">
        <v>45</v>
      </c>
    </row>
    <row r="95" spans="1:3">
      <c r="A95" s="6" t="s">
        <v>77</v>
      </c>
      <c r="B95" s="3">
        <v>74.83</v>
      </c>
      <c r="C95" s="3">
        <v>48</v>
      </c>
    </row>
    <row r="96" spans="1:3">
      <c r="A96" s="3" t="s">
        <v>78</v>
      </c>
      <c r="B96" s="3">
        <v>212.75</v>
      </c>
      <c r="C96" s="3">
        <v>48</v>
      </c>
    </row>
    <row r="97" spans="1:3">
      <c r="A97" s="3" t="s">
        <v>79</v>
      </c>
      <c r="B97" s="3">
        <v>118.72</v>
      </c>
      <c r="C97" s="3">
        <v>66</v>
      </c>
    </row>
    <row r="98" spans="1:3">
      <c r="A98" s="3" t="s">
        <v>80</v>
      </c>
      <c r="B98" s="3">
        <v>145.41999999999999</v>
      </c>
      <c r="C98" s="3">
        <v>33</v>
      </c>
    </row>
    <row r="99" spans="1:3">
      <c r="A99" s="3" t="s">
        <v>81</v>
      </c>
      <c r="B99" s="3">
        <v>210.3</v>
      </c>
      <c r="C99" s="3">
        <v>38</v>
      </c>
    </row>
    <row r="100" spans="1:3">
      <c r="A100" s="3" t="s">
        <v>82</v>
      </c>
      <c r="B100" s="3">
        <v>170.8</v>
      </c>
      <c r="C100" s="3">
        <v>38</v>
      </c>
    </row>
    <row r="101" spans="1:3">
      <c r="A101" s="3" t="s">
        <v>83</v>
      </c>
      <c r="B101" s="3">
        <v>163.88</v>
      </c>
      <c r="C101" s="3">
        <v>38</v>
      </c>
    </row>
    <row r="102" spans="1:3">
      <c r="A102" s="6" t="s">
        <v>84</v>
      </c>
      <c r="B102" s="3">
        <v>6.26</v>
      </c>
      <c r="C102" s="3">
        <v>56</v>
      </c>
    </row>
    <row r="103" spans="1:3">
      <c r="A103" s="3" t="s">
        <v>85</v>
      </c>
      <c r="B103" s="3">
        <v>15.01</v>
      </c>
      <c r="C103" s="3">
        <v>48</v>
      </c>
    </row>
    <row r="104" spans="1:3">
      <c r="A104" s="3" t="s">
        <v>86</v>
      </c>
      <c r="B104" s="3">
        <v>20.16</v>
      </c>
      <c r="C104" s="3">
        <v>48</v>
      </c>
    </row>
    <row r="105" spans="1:3">
      <c r="A105" s="6" t="s">
        <v>87</v>
      </c>
      <c r="B105" s="3">
        <v>123.48</v>
      </c>
      <c r="C105" s="3">
        <v>75</v>
      </c>
    </row>
    <row r="106" spans="1:3">
      <c r="A106" s="3" t="s">
        <v>88</v>
      </c>
      <c r="B106" s="3">
        <v>117.45</v>
      </c>
      <c r="C106" s="3">
        <v>75</v>
      </c>
    </row>
    <row r="107" spans="1:3">
      <c r="A107" s="3" t="s">
        <v>89</v>
      </c>
      <c r="B107" s="3">
        <v>148.25</v>
      </c>
      <c r="C107" s="3">
        <v>75</v>
      </c>
    </row>
    <row r="108" spans="1:3">
      <c r="A108" s="6" t="s">
        <v>90</v>
      </c>
      <c r="B108" s="3">
        <v>110.22</v>
      </c>
      <c r="C108" s="3">
        <v>75</v>
      </c>
    </row>
    <row r="109" spans="1:3">
      <c r="A109" s="3" t="s">
        <v>91</v>
      </c>
      <c r="B109" s="3">
        <v>138.38999999999999</v>
      </c>
      <c r="C109" s="3">
        <v>56</v>
      </c>
    </row>
    <row r="110" spans="1:3">
      <c r="A110" s="3" t="s">
        <v>92</v>
      </c>
      <c r="B110" s="3">
        <v>176.99</v>
      </c>
      <c r="C110" s="3">
        <v>66</v>
      </c>
    </row>
    <row r="111" spans="1:3">
      <c r="A111" s="3" t="s">
        <v>93</v>
      </c>
      <c r="B111" s="3">
        <v>212.46</v>
      </c>
      <c r="C111" s="3">
        <v>66</v>
      </c>
    </row>
    <row r="112" spans="1:3">
      <c r="A112" s="3" t="s">
        <v>94</v>
      </c>
      <c r="B112" s="3">
        <v>156.53</v>
      </c>
      <c r="C112" s="3">
        <v>66</v>
      </c>
    </row>
    <row r="113" spans="1:3">
      <c r="A113" s="3" t="s">
        <v>95</v>
      </c>
      <c r="B113" s="3">
        <v>238.28</v>
      </c>
      <c r="C113" s="3">
        <v>70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4A16D-70DB-45F0-8196-85099254C819}">
  <sheetPr codeName="工作表2"/>
  <dimension ref="A1:H145"/>
  <sheetViews>
    <sheetView workbookViewId="0">
      <selection activeCell="F78" sqref="F78"/>
    </sheetView>
  </sheetViews>
  <sheetFormatPr defaultColWidth="8.86328125" defaultRowHeight="16.149999999999999"/>
  <cols>
    <col min="1" max="1" width="25.6640625" style="8" customWidth="1"/>
    <col min="2" max="4" width="8.86328125" style="8"/>
    <col min="5" max="5" width="26.1328125" style="8" customWidth="1"/>
    <col min="6" max="8" width="8.86328125" style="8"/>
    <col min="9" max="9" width="24.796875" style="8" customWidth="1"/>
    <col min="10" max="16384" width="8.86328125" style="8"/>
  </cols>
  <sheetData>
    <row r="1" spans="1:8">
      <c r="A1" s="7" t="s">
        <v>207</v>
      </c>
    </row>
    <row r="2" spans="1:8">
      <c r="A2" s="10" t="s">
        <v>4</v>
      </c>
      <c r="B2" s="10" t="s">
        <v>96</v>
      </c>
      <c r="C2" s="10" t="s">
        <v>97</v>
      </c>
      <c r="D2" s="9"/>
      <c r="H2" s="9"/>
    </row>
    <row r="3" spans="1:8">
      <c r="A3" s="8" t="s">
        <v>98</v>
      </c>
      <c r="B3" s="8">
        <v>400</v>
      </c>
      <c r="C3" s="8">
        <v>180</v>
      </c>
    </row>
    <row r="4" spans="1:8">
      <c r="A4" s="8" t="s">
        <v>101</v>
      </c>
      <c r="B4" s="8">
        <v>600</v>
      </c>
      <c r="C4" s="8">
        <v>200</v>
      </c>
    </row>
    <row r="5" spans="1:8">
      <c r="A5" s="8" t="s">
        <v>104</v>
      </c>
      <c r="B5" s="8">
        <v>500</v>
      </c>
      <c r="C5" s="8">
        <v>230</v>
      </c>
    </row>
    <row r="6" spans="1:8">
      <c r="A6" s="8" t="s">
        <v>107</v>
      </c>
      <c r="B6" s="8">
        <v>600</v>
      </c>
      <c r="C6" s="8">
        <v>220</v>
      </c>
    </row>
    <row r="7" spans="1:8">
      <c r="A7" s="8" t="s">
        <v>110</v>
      </c>
      <c r="B7" s="8">
        <v>700</v>
      </c>
      <c r="C7" s="8">
        <v>220</v>
      </c>
    </row>
    <row r="8" spans="1:8">
      <c r="A8" s="8" t="s">
        <v>113</v>
      </c>
      <c r="B8" s="8">
        <v>450</v>
      </c>
      <c r="C8" s="8">
        <v>160</v>
      </c>
    </row>
    <row r="9" spans="1:8">
      <c r="A9" s="8" t="s">
        <v>116</v>
      </c>
      <c r="B9" s="8">
        <v>550</v>
      </c>
      <c r="C9" s="8">
        <v>230</v>
      </c>
    </row>
    <row r="10" spans="1:8">
      <c r="A10" s="8" t="s">
        <v>119</v>
      </c>
      <c r="B10" s="8">
        <v>500</v>
      </c>
      <c r="C10" s="8">
        <v>230</v>
      </c>
    </row>
    <row r="11" spans="1:8">
      <c r="A11" s="8" t="s">
        <v>122</v>
      </c>
      <c r="B11" s="8">
        <v>600</v>
      </c>
      <c r="C11" s="8">
        <v>260</v>
      </c>
    </row>
    <row r="12" spans="1:8">
      <c r="A12" s="8" t="s">
        <v>125</v>
      </c>
      <c r="B12" s="8">
        <v>550</v>
      </c>
      <c r="C12" s="8">
        <v>260</v>
      </c>
    </row>
    <row r="13" spans="1:8">
      <c r="A13" s="8" t="s">
        <v>128</v>
      </c>
      <c r="B13" s="8">
        <v>600</v>
      </c>
      <c r="C13" s="8">
        <v>230</v>
      </c>
    </row>
    <row r="14" spans="1:8">
      <c r="A14" s="8" t="s">
        <v>131</v>
      </c>
      <c r="B14" s="8">
        <v>650</v>
      </c>
      <c r="C14" s="8">
        <v>260</v>
      </c>
    </row>
    <row r="15" spans="1:8">
      <c r="A15" s="8" t="s">
        <v>134</v>
      </c>
      <c r="B15" s="8">
        <v>800</v>
      </c>
      <c r="C15" s="8">
        <v>250</v>
      </c>
    </row>
    <row r="16" spans="1:8">
      <c r="A16" s="8" t="s">
        <v>137</v>
      </c>
      <c r="B16" s="8">
        <v>300</v>
      </c>
      <c r="C16" s="8">
        <v>220</v>
      </c>
    </row>
    <row r="17" spans="1:3">
      <c r="A17" s="8" t="s">
        <v>139</v>
      </c>
      <c r="B17" s="8">
        <v>500</v>
      </c>
      <c r="C17" s="8">
        <v>250</v>
      </c>
    </row>
    <row r="18" spans="1:3">
      <c r="A18" s="8" t="s">
        <v>141</v>
      </c>
      <c r="B18" s="8">
        <v>700</v>
      </c>
      <c r="C18" s="8">
        <v>280</v>
      </c>
    </row>
    <row r="19" spans="1:3">
      <c r="A19" s="8" t="s">
        <v>142</v>
      </c>
      <c r="B19" s="8">
        <v>600</v>
      </c>
      <c r="C19" s="8">
        <v>260</v>
      </c>
    </row>
    <row r="20" spans="1:3">
      <c r="A20" s="8" t="s">
        <v>143</v>
      </c>
      <c r="B20" s="8">
        <v>800</v>
      </c>
      <c r="C20" s="8">
        <v>280</v>
      </c>
    </row>
    <row r="21" spans="1:3">
      <c r="A21" s="8" t="s">
        <v>144</v>
      </c>
      <c r="B21" s="8">
        <v>700</v>
      </c>
      <c r="C21" s="8">
        <v>280</v>
      </c>
    </row>
    <row r="22" spans="1:3">
      <c r="A22" s="8" t="s">
        <v>145</v>
      </c>
      <c r="B22" s="8">
        <v>800</v>
      </c>
      <c r="C22" s="8">
        <v>280</v>
      </c>
    </row>
    <row r="23" spans="1:3">
      <c r="A23" s="8" t="s">
        <v>146</v>
      </c>
      <c r="B23" s="8">
        <v>800</v>
      </c>
      <c r="C23" s="8">
        <v>280</v>
      </c>
    </row>
    <row r="24" spans="1:3">
      <c r="A24" s="8" t="s">
        <v>147</v>
      </c>
      <c r="B24" s="8">
        <v>700</v>
      </c>
      <c r="C24" s="8">
        <v>310</v>
      </c>
    </row>
    <row r="25" spans="1:3">
      <c r="A25" s="8" t="s">
        <v>149</v>
      </c>
      <c r="B25" s="8">
        <v>500</v>
      </c>
      <c r="C25" s="8">
        <v>200</v>
      </c>
    </row>
    <row r="26" spans="1:3">
      <c r="A26" s="8" t="s">
        <v>150</v>
      </c>
      <c r="B26" s="8">
        <v>600</v>
      </c>
      <c r="C26" s="8">
        <v>220</v>
      </c>
    </row>
    <row r="27" spans="1:3">
      <c r="A27" s="8" t="s">
        <v>152</v>
      </c>
      <c r="B27" s="8">
        <v>650</v>
      </c>
      <c r="C27" s="8">
        <v>220</v>
      </c>
    </row>
    <row r="28" spans="1:3">
      <c r="A28" s="8" t="s">
        <v>154</v>
      </c>
      <c r="B28" s="8">
        <v>500</v>
      </c>
      <c r="C28" s="8">
        <v>130</v>
      </c>
    </row>
    <row r="29" spans="1:3">
      <c r="A29" s="8" t="s">
        <v>156</v>
      </c>
      <c r="B29" s="8">
        <v>650</v>
      </c>
      <c r="C29" s="8">
        <v>150</v>
      </c>
    </row>
    <row r="30" spans="1:3">
      <c r="A30" s="8" t="s">
        <v>158</v>
      </c>
      <c r="B30" s="8">
        <v>550</v>
      </c>
      <c r="C30" s="8">
        <v>150</v>
      </c>
    </row>
    <row r="31" spans="1:3">
      <c r="A31" s="8" t="s">
        <v>160</v>
      </c>
      <c r="B31" s="8">
        <v>650</v>
      </c>
      <c r="C31" s="8">
        <v>150</v>
      </c>
    </row>
    <row r="32" spans="1:3">
      <c r="A32" s="8" t="s">
        <v>162</v>
      </c>
      <c r="B32" s="8">
        <v>950</v>
      </c>
      <c r="C32" s="8">
        <v>280</v>
      </c>
    </row>
    <row r="33" spans="1:3">
      <c r="A33" s="8" t="s">
        <v>164</v>
      </c>
      <c r="B33" s="8">
        <v>1050</v>
      </c>
      <c r="C33" s="8">
        <v>280</v>
      </c>
    </row>
    <row r="34" spans="1:3">
      <c r="A34" s="8" t="s">
        <v>166</v>
      </c>
      <c r="B34" s="8">
        <v>1000</v>
      </c>
      <c r="C34" s="8">
        <v>280</v>
      </c>
    </row>
    <row r="35" spans="1:3">
      <c r="A35" s="8" t="s">
        <v>642</v>
      </c>
      <c r="B35" s="8">
        <v>1100</v>
      </c>
      <c r="C35" s="8">
        <v>290</v>
      </c>
    </row>
    <row r="36" spans="1:3">
      <c r="A36" s="10" t="s">
        <v>5</v>
      </c>
      <c r="B36" s="10" t="s">
        <v>96</v>
      </c>
      <c r="C36" s="10" t="s">
        <v>97</v>
      </c>
    </row>
    <row r="37" spans="1:3">
      <c r="A37" s="8" t="s">
        <v>98</v>
      </c>
      <c r="B37" s="8">
        <v>400</v>
      </c>
      <c r="C37" s="8">
        <v>180</v>
      </c>
    </row>
    <row r="38" spans="1:3">
      <c r="A38" s="8" t="s">
        <v>101</v>
      </c>
      <c r="B38" s="8">
        <v>600</v>
      </c>
      <c r="C38" s="8">
        <v>200</v>
      </c>
    </row>
    <row r="39" spans="1:3">
      <c r="A39" s="8" t="s">
        <v>104</v>
      </c>
      <c r="B39" s="8">
        <v>500</v>
      </c>
      <c r="C39" s="8">
        <v>230</v>
      </c>
    </row>
    <row r="40" spans="1:3">
      <c r="A40" s="8" t="s">
        <v>107</v>
      </c>
      <c r="B40" s="8">
        <v>600</v>
      </c>
      <c r="C40" s="8">
        <v>220</v>
      </c>
    </row>
    <row r="41" spans="1:3">
      <c r="A41" s="8" t="s">
        <v>110</v>
      </c>
      <c r="B41" s="8">
        <v>700</v>
      </c>
      <c r="C41" s="8">
        <v>220</v>
      </c>
    </row>
    <row r="42" spans="1:3">
      <c r="A42" s="8" t="s">
        <v>113</v>
      </c>
      <c r="B42" s="8">
        <v>450</v>
      </c>
      <c r="C42" s="8">
        <v>160</v>
      </c>
    </row>
    <row r="43" spans="1:3">
      <c r="A43" s="8" t="s">
        <v>116</v>
      </c>
      <c r="B43" s="8">
        <v>550</v>
      </c>
      <c r="C43" s="8">
        <v>230</v>
      </c>
    </row>
    <row r="44" spans="1:3">
      <c r="A44" s="8" t="s">
        <v>119</v>
      </c>
      <c r="B44" s="8">
        <v>500</v>
      </c>
      <c r="C44" s="8">
        <v>230</v>
      </c>
    </row>
    <row r="45" spans="1:3">
      <c r="A45" s="8" t="s">
        <v>122</v>
      </c>
      <c r="B45" s="8">
        <v>600</v>
      </c>
      <c r="C45" s="8">
        <v>260</v>
      </c>
    </row>
    <row r="46" spans="1:3">
      <c r="A46" s="8" t="s">
        <v>125</v>
      </c>
      <c r="B46" s="8">
        <v>550</v>
      </c>
      <c r="C46" s="8">
        <v>260</v>
      </c>
    </row>
    <row r="47" spans="1:3">
      <c r="A47" s="8" t="s">
        <v>128</v>
      </c>
      <c r="B47" s="8">
        <v>600</v>
      </c>
      <c r="C47" s="8">
        <v>230</v>
      </c>
    </row>
    <row r="48" spans="1:3">
      <c r="A48" s="8" t="s">
        <v>131</v>
      </c>
      <c r="B48" s="8">
        <v>650</v>
      </c>
      <c r="C48" s="8">
        <v>260</v>
      </c>
    </row>
    <row r="49" spans="1:3">
      <c r="A49" s="8" t="s">
        <v>134</v>
      </c>
      <c r="B49" s="8">
        <v>800</v>
      </c>
      <c r="C49" s="8">
        <v>250</v>
      </c>
    </row>
    <row r="50" spans="1:3">
      <c r="A50" s="8" t="s">
        <v>137</v>
      </c>
      <c r="B50" s="8">
        <v>300</v>
      </c>
      <c r="C50" s="8">
        <v>220</v>
      </c>
    </row>
    <row r="51" spans="1:3">
      <c r="A51" s="8" t="s">
        <v>139</v>
      </c>
      <c r="B51" s="8">
        <v>500</v>
      </c>
      <c r="C51" s="8">
        <v>250</v>
      </c>
    </row>
    <row r="52" spans="1:3">
      <c r="A52" s="8" t="s">
        <v>141</v>
      </c>
      <c r="B52" s="8">
        <v>700</v>
      </c>
      <c r="C52" s="8">
        <v>280</v>
      </c>
    </row>
    <row r="53" spans="1:3">
      <c r="A53" s="8" t="s">
        <v>142</v>
      </c>
      <c r="B53" s="8">
        <v>600</v>
      </c>
      <c r="C53" s="8">
        <v>260</v>
      </c>
    </row>
    <row r="54" spans="1:3">
      <c r="A54" s="8" t="s">
        <v>143</v>
      </c>
      <c r="B54" s="8">
        <v>800</v>
      </c>
      <c r="C54" s="8">
        <v>280</v>
      </c>
    </row>
    <row r="55" spans="1:3">
      <c r="A55" s="8" t="s">
        <v>144</v>
      </c>
      <c r="B55" s="8">
        <v>700</v>
      </c>
      <c r="C55" s="8">
        <v>280</v>
      </c>
    </row>
    <row r="56" spans="1:3">
      <c r="A56" s="8" t="s">
        <v>145</v>
      </c>
      <c r="B56" s="8">
        <v>800</v>
      </c>
      <c r="C56" s="8">
        <v>280</v>
      </c>
    </row>
    <row r="57" spans="1:3">
      <c r="A57" s="8" t="s">
        <v>146</v>
      </c>
      <c r="B57" s="8">
        <v>800</v>
      </c>
      <c r="C57" s="8">
        <v>280</v>
      </c>
    </row>
    <row r="58" spans="1:3">
      <c r="A58" s="8" t="s">
        <v>147</v>
      </c>
      <c r="B58" s="8">
        <v>700</v>
      </c>
      <c r="C58" s="8">
        <v>310</v>
      </c>
    </row>
    <row r="59" spans="1:3">
      <c r="A59" s="8" t="s">
        <v>149</v>
      </c>
      <c r="B59" s="8">
        <v>500</v>
      </c>
      <c r="C59" s="8">
        <v>200</v>
      </c>
    </row>
    <row r="60" spans="1:3">
      <c r="A60" s="8" t="s">
        <v>150</v>
      </c>
      <c r="B60" s="8">
        <v>600</v>
      </c>
      <c r="C60" s="8">
        <v>220</v>
      </c>
    </row>
    <row r="61" spans="1:3">
      <c r="A61" s="8" t="s">
        <v>152</v>
      </c>
      <c r="B61" s="8">
        <v>650</v>
      </c>
      <c r="C61" s="8">
        <v>220</v>
      </c>
    </row>
    <row r="62" spans="1:3">
      <c r="A62" s="8" t="s">
        <v>154</v>
      </c>
      <c r="B62" s="8">
        <v>500</v>
      </c>
      <c r="C62" s="8">
        <v>130</v>
      </c>
    </row>
    <row r="63" spans="1:3">
      <c r="A63" s="8" t="s">
        <v>156</v>
      </c>
      <c r="B63" s="8">
        <v>650</v>
      </c>
      <c r="C63" s="8">
        <v>150</v>
      </c>
    </row>
    <row r="64" spans="1:3">
      <c r="A64" s="8" t="s">
        <v>158</v>
      </c>
      <c r="B64" s="8">
        <v>550</v>
      </c>
      <c r="C64" s="8">
        <v>150</v>
      </c>
    </row>
    <row r="65" spans="1:3">
      <c r="A65" s="8" t="s">
        <v>160</v>
      </c>
      <c r="B65" s="8">
        <v>650</v>
      </c>
      <c r="C65" s="8">
        <v>150</v>
      </c>
    </row>
    <row r="66" spans="1:3">
      <c r="A66" s="8" t="s">
        <v>162</v>
      </c>
      <c r="B66" s="8">
        <v>950</v>
      </c>
      <c r="C66" s="8">
        <v>280</v>
      </c>
    </row>
    <row r="67" spans="1:3">
      <c r="A67" s="8" t="s">
        <v>164</v>
      </c>
      <c r="B67" s="8">
        <v>1050</v>
      </c>
      <c r="C67" s="8">
        <v>280</v>
      </c>
    </row>
    <row r="68" spans="1:3">
      <c r="A68" s="8" t="s">
        <v>166</v>
      </c>
      <c r="B68" s="8">
        <v>1000</v>
      </c>
      <c r="C68" s="8">
        <v>280</v>
      </c>
    </row>
    <row r="69" spans="1:3">
      <c r="A69" s="8" t="s">
        <v>642</v>
      </c>
      <c r="B69" s="8">
        <v>1100</v>
      </c>
      <c r="C69" s="8">
        <v>290</v>
      </c>
    </row>
    <row r="70" spans="1:3">
      <c r="A70" s="10" t="s">
        <v>6</v>
      </c>
      <c r="B70" s="10" t="s">
        <v>96</v>
      </c>
      <c r="C70" s="10" t="s">
        <v>97</v>
      </c>
    </row>
    <row r="71" spans="1:3">
      <c r="A71" s="8" t="s">
        <v>100</v>
      </c>
      <c r="B71" s="8">
        <v>14</v>
      </c>
      <c r="C71" s="8">
        <v>95</v>
      </c>
    </row>
    <row r="72" spans="1:3">
      <c r="A72" s="8" t="s">
        <v>106</v>
      </c>
      <c r="B72" s="8">
        <v>300</v>
      </c>
      <c r="C72" s="8">
        <v>110</v>
      </c>
    </row>
    <row r="73" spans="1:3">
      <c r="A73" s="8" t="s">
        <v>112</v>
      </c>
      <c r="B73" s="8">
        <v>350</v>
      </c>
      <c r="C73" s="8">
        <v>120</v>
      </c>
    </row>
    <row r="74" spans="1:3">
      <c r="A74" s="8" t="s">
        <v>115</v>
      </c>
      <c r="B74" s="8">
        <v>400</v>
      </c>
      <c r="C74" s="8">
        <v>135</v>
      </c>
    </row>
    <row r="75" spans="1:3">
      <c r="A75" s="8" t="s">
        <v>118</v>
      </c>
      <c r="B75" s="8">
        <v>400</v>
      </c>
      <c r="C75" s="8">
        <v>150</v>
      </c>
    </row>
    <row r="76" spans="1:3">
      <c r="A76" s="8" t="s">
        <v>121</v>
      </c>
      <c r="B76" s="8">
        <v>250</v>
      </c>
      <c r="C76" s="8">
        <v>120</v>
      </c>
    </row>
    <row r="77" spans="1:3">
      <c r="A77" s="8" t="s">
        <v>124</v>
      </c>
      <c r="B77" s="8">
        <v>400</v>
      </c>
      <c r="C77" s="8">
        <v>135</v>
      </c>
    </row>
    <row r="78" spans="1:3">
      <c r="A78" s="8" t="s">
        <v>127</v>
      </c>
      <c r="B78" s="8">
        <v>400</v>
      </c>
      <c r="C78" s="8">
        <v>135</v>
      </c>
    </row>
    <row r="79" spans="1:3">
      <c r="A79" s="8" t="s">
        <v>130</v>
      </c>
      <c r="B79" s="8">
        <v>200</v>
      </c>
      <c r="C79" s="8">
        <v>130</v>
      </c>
    </row>
    <row r="80" spans="1:3">
      <c r="A80" s="8" t="s">
        <v>133</v>
      </c>
      <c r="B80" s="8">
        <v>450</v>
      </c>
      <c r="C80" s="8">
        <v>130</v>
      </c>
    </row>
    <row r="81" spans="1:3">
      <c r="A81" s="8" t="s">
        <v>136</v>
      </c>
      <c r="B81" s="8">
        <v>350</v>
      </c>
      <c r="C81" s="8">
        <v>135</v>
      </c>
    </row>
    <row r="82" spans="1:3">
      <c r="A82" s="8" t="s">
        <v>138</v>
      </c>
      <c r="B82" s="8">
        <v>400</v>
      </c>
      <c r="C82" s="8">
        <v>135</v>
      </c>
    </row>
    <row r="83" spans="1:3">
      <c r="A83" s="8" t="s">
        <v>140</v>
      </c>
      <c r="B83" s="8">
        <v>450</v>
      </c>
      <c r="C83" s="8">
        <v>150</v>
      </c>
    </row>
    <row r="84" spans="1:3">
      <c r="A84" s="8" t="s">
        <v>148</v>
      </c>
      <c r="B84" s="8">
        <v>5</v>
      </c>
      <c r="C84" s="8">
        <v>130</v>
      </c>
    </row>
    <row r="85" spans="1:3">
      <c r="A85" s="8" t="s">
        <v>151</v>
      </c>
      <c r="B85" s="8">
        <v>15</v>
      </c>
      <c r="C85" s="8">
        <v>110</v>
      </c>
    </row>
    <row r="86" spans="1:3">
      <c r="A86" s="8" t="s">
        <v>153</v>
      </c>
      <c r="B86" s="8">
        <v>5</v>
      </c>
      <c r="C86" s="8">
        <v>95</v>
      </c>
    </row>
    <row r="87" spans="1:3">
      <c r="A87" s="8" t="s">
        <v>155</v>
      </c>
      <c r="B87" s="8">
        <v>15</v>
      </c>
      <c r="C87" s="8">
        <v>95</v>
      </c>
    </row>
    <row r="88" spans="1:3">
      <c r="A88" s="8" t="s">
        <v>157</v>
      </c>
      <c r="B88" s="8">
        <v>20</v>
      </c>
      <c r="C88" s="8">
        <v>110</v>
      </c>
    </row>
    <row r="89" spans="1:3">
      <c r="A89" s="8" t="s">
        <v>159</v>
      </c>
      <c r="B89" s="8">
        <v>40</v>
      </c>
      <c r="C89" s="8">
        <v>100</v>
      </c>
    </row>
    <row r="90" spans="1:3">
      <c r="A90" s="8" t="s">
        <v>161</v>
      </c>
      <c r="B90" s="8">
        <v>40</v>
      </c>
      <c r="C90" s="8">
        <v>110</v>
      </c>
    </row>
    <row r="91" spans="1:3">
      <c r="A91" s="8" t="s">
        <v>163</v>
      </c>
      <c r="B91" s="8">
        <v>20</v>
      </c>
      <c r="C91" s="8">
        <v>130</v>
      </c>
    </row>
    <row r="92" spans="1:3">
      <c r="A92" s="8" t="s">
        <v>165</v>
      </c>
      <c r="B92" s="8">
        <v>150</v>
      </c>
      <c r="C92" s="8">
        <v>140</v>
      </c>
    </row>
    <row r="93" spans="1:3">
      <c r="A93" s="8" t="s">
        <v>167</v>
      </c>
      <c r="B93" s="8">
        <v>50</v>
      </c>
      <c r="C93" s="8">
        <v>130</v>
      </c>
    </row>
    <row r="94" spans="1:3">
      <c r="A94" s="8" t="s">
        <v>168</v>
      </c>
      <c r="B94" s="8">
        <v>60</v>
      </c>
      <c r="C94" s="8">
        <v>150</v>
      </c>
    </row>
    <row r="95" spans="1:3">
      <c r="A95" s="8" t="s">
        <v>169</v>
      </c>
      <c r="B95" s="8">
        <v>70</v>
      </c>
      <c r="C95" s="8">
        <v>110</v>
      </c>
    </row>
    <row r="96" spans="1:3">
      <c r="A96" s="8" t="s">
        <v>170</v>
      </c>
      <c r="B96" s="8">
        <v>350</v>
      </c>
      <c r="C96" s="8">
        <v>120</v>
      </c>
    </row>
    <row r="97" spans="1:3">
      <c r="A97" s="8" t="s">
        <v>171</v>
      </c>
      <c r="B97" s="8">
        <v>250</v>
      </c>
      <c r="C97" s="8">
        <v>120</v>
      </c>
    </row>
    <row r="98" spans="1:3">
      <c r="A98" s="8" t="s">
        <v>172</v>
      </c>
      <c r="B98" s="8">
        <v>300</v>
      </c>
      <c r="C98" s="8">
        <v>120</v>
      </c>
    </row>
    <row r="99" spans="1:3">
      <c r="A99" s="8" t="s">
        <v>173</v>
      </c>
      <c r="B99" s="8">
        <v>350</v>
      </c>
      <c r="C99" s="8">
        <v>120</v>
      </c>
    </row>
    <row r="100" spans="1:3">
      <c r="A100" s="8" t="s">
        <v>174</v>
      </c>
      <c r="B100" s="8">
        <v>250</v>
      </c>
      <c r="C100" s="8">
        <v>120</v>
      </c>
    </row>
    <row r="101" spans="1:3">
      <c r="A101" s="8" t="s">
        <v>175</v>
      </c>
      <c r="B101" s="8">
        <v>400</v>
      </c>
      <c r="C101" s="8">
        <v>130</v>
      </c>
    </row>
    <row r="102" spans="1:3">
      <c r="A102" s="8" t="s">
        <v>176</v>
      </c>
      <c r="B102" s="8">
        <v>450</v>
      </c>
      <c r="C102" s="8">
        <v>150</v>
      </c>
    </row>
    <row r="103" spans="1:3">
      <c r="A103" s="8" t="s">
        <v>177</v>
      </c>
      <c r="B103" s="8">
        <v>300</v>
      </c>
      <c r="C103" s="8">
        <v>120</v>
      </c>
    </row>
    <row r="104" spans="1:3">
      <c r="A104" s="8" t="s">
        <v>178</v>
      </c>
      <c r="B104" s="8">
        <v>450</v>
      </c>
      <c r="C104" s="8">
        <v>160</v>
      </c>
    </row>
    <row r="105" spans="1:3">
      <c r="A105" s="8" t="s">
        <v>179</v>
      </c>
      <c r="B105" s="8">
        <v>600</v>
      </c>
      <c r="C105" s="8">
        <v>160</v>
      </c>
    </row>
    <row r="106" spans="1:3">
      <c r="A106" s="8" t="s">
        <v>180</v>
      </c>
      <c r="B106" s="8">
        <v>400</v>
      </c>
      <c r="C106" s="8">
        <v>160</v>
      </c>
    </row>
    <row r="107" spans="1:3">
      <c r="A107" s="8" t="s">
        <v>181</v>
      </c>
      <c r="B107" s="8">
        <v>500</v>
      </c>
      <c r="C107" s="8">
        <v>160</v>
      </c>
    </row>
    <row r="108" spans="1:3">
      <c r="A108" s="8" t="s">
        <v>182</v>
      </c>
      <c r="B108" s="8">
        <v>350</v>
      </c>
      <c r="C108" s="8">
        <v>140</v>
      </c>
    </row>
    <row r="109" spans="1:3">
      <c r="A109" s="8" t="s">
        <v>183</v>
      </c>
      <c r="B109" s="8">
        <v>450</v>
      </c>
      <c r="C109" s="8">
        <v>150</v>
      </c>
    </row>
    <row r="110" spans="1:3">
      <c r="A110" s="8" t="s">
        <v>184</v>
      </c>
      <c r="B110" s="8">
        <v>400</v>
      </c>
      <c r="C110" s="8">
        <v>150</v>
      </c>
    </row>
    <row r="111" spans="1:3">
      <c r="A111" s="8" t="s">
        <v>185</v>
      </c>
      <c r="B111" s="8">
        <v>350</v>
      </c>
      <c r="C111" s="8">
        <v>150</v>
      </c>
    </row>
    <row r="112" spans="1:3">
      <c r="A112" s="8" t="s">
        <v>186</v>
      </c>
      <c r="B112" s="8">
        <v>350</v>
      </c>
      <c r="C112" s="8">
        <v>150</v>
      </c>
    </row>
    <row r="113" spans="1:3">
      <c r="A113" s="8" t="s">
        <v>187</v>
      </c>
      <c r="B113" s="8">
        <v>450</v>
      </c>
      <c r="C113" s="8">
        <v>130</v>
      </c>
    </row>
    <row r="114" spans="1:3">
      <c r="A114" s="8" t="s">
        <v>188</v>
      </c>
      <c r="B114" s="8">
        <v>400</v>
      </c>
      <c r="C114" s="8">
        <v>130</v>
      </c>
    </row>
    <row r="115" spans="1:3">
      <c r="A115" s="8" t="s">
        <v>189</v>
      </c>
      <c r="B115" s="8">
        <v>450</v>
      </c>
      <c r="C115" s="8">
        <v>130</v>
      </c>
    </row>
    <row r="116" spans="1:3">
      <c r="A116" s="8" t="s">
        <v>190</v>
      </c>
      <c r="B116" s="8">
        <v>450</v>
      </c>
      <c r="C116" s="8">
        <v>130</v>
      </c>
    </row>
    <row r="117" spans="1:3">
      <c r="A117" s="8" t="s">
        <v>191</v>
      </c>
      <c r="B117" s="8">
        <v>450</v>
      </c>
      <c r="C117" s="8">
        <v>125</v>
      </c>
    </row>
    <row r="118" spans="1:3">
      <c r="A118" s="8" t="s">
        <v>192</v>
      </c>
      <c r="B118" s="8">
        <v>500</v>
      </c>
      <c r="C118" s="8">
        <v>130</v>
      </c>
    </row>
    <row r="119" spans="1:3">
      <c r="A119" s="8" t="s">
        <v>193</v>
      </c>
      <c r="B119" s="8">
        <v>450</v>
      </c>
      <c r="C119" s="8">
        <v>130</v>
      </c>
    </row>
    <row r="120" spans="1:3">
      <c r="A120" s="8" t="s">
        <v>194</v>
      </c>
      <c r="B120" s="8">
        <v>450</v>
      </c>
      <c r="C120" s="8">
        <v>160</v>
      </c>
    </row>
    <row r="121" spans="1:3">
      <c r="A121" s="8" t="s">
        <v>195</v>
      </c>
      <c r="B121" s="8">
        <v>450</v>
      </c>
      <c r="C121" s="8">
        <v>160</v>
      </c>
    </row>
    <row r="122" spans="1:3">
      <c r="A122" s="8" t="s">
        <v>196</v>
      </c>
      <c r="B122" s="8">
        <v>450</v>
      </c>
      <c r="C122" s="8">
        <v>160</v>
      </c>
    </row>
    <row r="123" spans="1:3">
      <c r="A123" s="8" t="s">
        <v>197</v>
      </c>
      <c r="B123" s="8">
        <v>400</v>
      </c>
      <c r="C123" s="8">
        <v>160</v>
      </c>
    </row>
    <row r="124" spans="1:3">
      <c r="A124" s="8" t="s">
        <v>198</v>
      </c>
      <c r="B124" s="8">
        <v>400</v>
      </c>
      <c r="C124" s="8">
        <v>160</v>
      </c>
    </row>
    <row r="125" spans="1:3">
      <c r="A125" s="8" t="s">
        <v>199</v>
      </c>
      <c r="B125" s="8">
        <v>350</v>
      </c>
      <c r="C125" s="8">
        <v>125</v>
      </c>
    </row>
    <row r="126" spans="1:3">
      <c r="A126" s="8" t="s">
        <v>200</v>
      </c>
      <c r="B126" s="8">
        <v>350</v>
      </c>
      <c r="C126" s="8">
        <v>125</v>
      </c>
    </row>
    <row r="127" spans="1:3">
      <c r="A127" s="8" t="s">
        <v>201</v>
      </c>
      <c r="B127" s="8">
        <v>350</v>
      </c>
      <c r="C127" s="8">
        <v>125</v>
      </c>
    </row>
    <row r="128" spans="1:3">
      <c r="A128" s="8" t="s">
        <v>202</v>
      </c>
      <c r="B128" s="8">
        <v>350</v>
      </c>
      <c r="C128" s="8">
        <v>130</v>
      </c>
    </row>
    <row r="129" spans="1:3">
      <c r="A129" s="8" t="s">
        <v>203</v>
      </c>
      <c r="B129" s="8">
        <v>350</v>
      </c>
      <c r="C129" s="8">
        <v>125</v>
      </c>
    </row>
    <row r="130" spans="1:3">
      <c r="A130" s="8" t="s">
        <v>204</v>
      </c>
      <c r="B130" s="8">
        <v>350</v>
      </c>
      <c r="C130" s="8">
        <v>135</v>
      </c>
    </row>
    <row r="131" spans="1:3">
      <c r="A131" s="8" t="s">
        <v>205</v>
      </c>
      <c r="B131" s="8">
        <v>350</v>
      </c>
      <c r="C131" s="8">
        <v>140</v>
      </c>
    </row>
    <row r="132" spans="1:3">
      <c r="A132" s="8" t="s">
        <v>206</v>
      </c>
      <c r="B132" s="8">
        <v>500</v>
      </c>
      <c r="C132" s="8">
        <v>140</v>
      </c>
    </row>
    <row r="133" spans="1:3">
      <c r="A133" s="8" t="s">
        <v>99</v>
      </c>
      <c r="B133" s="8">
        <v>315</v>
      </c>
      <c r="C133" s="8">
        <v>120</v>
      </c>
    </row>
    <row r="134" spans="1:3">
      <c r="A134" s="8" t="s">
        <v>102</v>
      </c>
      <c r="B134" s="8">
        <v>450</v>
      </c>
      <c r="C134" s="8">
        <v>120</v>
      </c>
    </row>
    <row r="135" spans="1:3">
      <c r="A135" s="8" t="s">
        <v>105</v>
      </c>
      <c r="B135" s="8">
        <v>300</v>
      </c>
      <c r="C135" s="8">
        <v>180</v>
      </c>
    </row>
    <row r="136" spans="1:3">
      <c r="A136" s="8" t="s">
        <v>108</v>
      </c>
      <c r="B136" s="8">
        <v>375</v>
      </c>
      <c r="C136" s="8">
        <v>90</v>
      </c>
    </row>
    <row r="137" spans="1:3">
      <c r="A137" s="8" t="s">
        <v>111</v>
      </c>
      <c r="B137" s="8">
        <v>348</v>
      </c>
      <c r="C137" s="8">
        <v>90</v>
      </c>
    </row>
    <row r="138" spans="1:3">
      <c r="A138" s="8" t="s">
        <v>114</v>
      </c>
      <c r="B138" s="8">
        <v>110</v>
      </c>
      <c r="C138" s="8">
        <v>90</v>
      </c>
    </row>
    <row r="139" spans="1:3">
      <c r="A139" s="8" t="s">
        <v>117</v>
      </c>
      <c r="B139" s="8">
        <v>400</v>
      </c>
      <c r="C139" s="8">
        <v>100</v>
      </c>
    </row>
    <row r="140" spans="1:3">
      <c r="A140" s="8" t="s">
        <v>120</v>
      </c>
      <c r="B140" s="8">
        <v>450</v>
      </c>
      <c r="C140" s="8">
        <v>100</v>
      </c>
    </row>
    <row r="141" spans="1:3">
      <c r="A141" s="8" t="s">
        <v>123</v>
      </c>
      <c r="B141" s="8">
        <v>500</v>
      </c>
      <c r="C141" s="8">
        <v>100</v>
      </c>
    </row>
    <row r="142" spans="1:3">
      <c r="A142" s="8" t="s">
        <v>126</v>
      </c>
      <c r="B142" s="8">
        <v>500</v>
      </c>
      <c r="C142" s="8">
        <v>110</v>
      </c>
    </row>
    <row r="143" spans="1:3">
      <c r="A143" s="8" t="s">
        <v>129</v>
      </c>
      <c r="B143" s="8">
        <v>500</v>
      </c>
      <c r="C143" s="8">
        <v>130</v>
      </c>
    </row>
    <row r="144" spans="1:3">
      <c r="A144" s="8" t="s">
        <v>132</v>
      </c>
      <c r="B144" s="8">
        <v>310</v>
      </c>
      <c r="C144" s="8">
        <v>200</v>
      </c>
    </row>
    <row r="145" spans="1:3">
      <c r="A145" s="8" t="s">
        <v>135</v>
      </c>
      <c r="B145" s="8">
        <v>190</v>
      </c>
      <c r="C145" s="8">
        <v>120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3FEC6-6A1B-4A12-890F-56428B22EE4B}">
  <sheetPr codeName="工作表3"/>
  <dimension ref="A1:G55"/>
  <sheetViews>
    <sheetView topLeftCell="A28" workbookViewId="0">
      <selection activeCell="F45" sqref="F45"/>
    </sheetView>
  </sheetViews>
  <sheetFormatPr defaultColWidth="8.86328125" defaultRowHeight="16.149999999999999"/>
  <cols>
    <col min="1" max="1" width="23.86328125" style="8" customWidth="1"/>
    <col min="2" max="2" width="11" style="8" customWidth="1"/>
    <col min="3" max="3" width="12" style="8" customWidth="1"/>
    <col min="4" max="5" width="8.86328125" style="8"/>
    <col min="6" max="6" width="12.1328125" style="8" customWidth="1"/>
    <col min="7" max="7" width="12.86328125" style="8" customWidth="1"/>
    <col min="8" max="8" width="11.796875" style="8" customWidth="1"/>
    <col min="9" max="16384" width="8.86328125" style="8"/>
  </cols>
  <sheetData>
    <row r="1" spans="1:7">
      <c r="A1" s="11" t="s">
        <v>243</v>
      </c>
    </row>
    <row r="2" spans="1:7">
      <c r="A2" s="12" t="s">
        <v>242</v>
      </c>
      <c r="B2" s="12" t="s">
        <v>208</v>
      </c>
      <c r="C2" s="12" t="s">
        <v>209</v>
      </c>
      <c r="F2" s="12" t="s">
        <v>219</v>
      </c>
      <c r="G2" s="12" t="s">
        <v>208</v>
      </c>
    </row>
    <row r="3" spans="1:7">
      <c r="A3" s="8" t="s">
        <v>210</v>
      </c>
      <c r="B3" s="8">
        <f>515.3+SUM(G3:G7)</f>
        <v>948.69999999999993</v>
      </c>
      <c r="C3" s="8">
        <v>210</v>
      </c>
      <c r="F3" s="8" t="s">
        <v>220</v>
      </c>
      <c r="G3" s="8">
        <v>296.39999999999998</v>
      </c>
    </row>
    <row r="4" spans="1:7">
      <c r="A4" s="8" t="s">
        <v>211</v>
      </c>
      <c r="B4" s="8">
        <f>495.2+SUM(G3:G7)</f>
        <v>928.59999999999991</v>
      </c>
      <c r="C4" s="8">
        <v>210</v>
      </c>
      <c r="F4" s="8" t="s">
        <v>221</v>
      </c>
      <c r="G4" s="8">
        <v>53.3</v>
      </c>
    </row>
    <row r="5" spans="1:7">
      <c r="A5" s="8" t="s">
        <v>212</v>
      </c>
      <c r="B5" s="8">
        <f>737.9+SUM(G3:G7)</f>
        <v>1171.3</v>
      </c>
      <c r="C5" s="8">
        <v>210</v>
      </c>
      <c r="F5" s="8" t="s">
        <v>222</v>
      </c>
      <c r="G5" s="8">
        <v>44.3</v>
      </c>
    </row>
    <row r="6" spans="1:7">
      <c r="A6" s="8" t="s">
        <v>213</v>
      </c>
      <c r="B6" s="8">
        <f>605.8+SUM(G3:G7)</f>
        <v>1039.1999999999998</v>
      </c>
      <c r="C6" s="8">
        <v>210</v>
      </c>
      <c r="F6" s="8" t="s">
        <v>223</v>
      </c>
      <c r="G6" s="8">
        <v>17.899999999999999</v>
      </c>
    </row>
    <row r="7" spans="1:7">
      <c r="A7" s="8" t="s">
        <v>214</v>
      </c>
      <c r="B7" s="8">
        <f>446.1+SUM(G3:G7)</f>
        <v>879.5</v>
      </c>
      <c r="C7" s="8">
        <v>210</v>
      </c>
      <c r="F7" s="8" t="s">
        <v>224</v>
      </c>
      <c r="G7" s="8">
        <v>21.5</v>
      </c>
    </row>
    <row r="8" spans="1:7">
      <c r="A8" s="8" t="s">
        <v>215</v>
      </c>
      <c r="B8" s="8">
        <f>587.5+SUM(G3:G7)</f>
        <v>1020.9</v>
      </c>
      <c r="C8" s="8">
        <v>250</v>
      </c>
    </row>
    <row r="9" spans="1:7">
      <c r="A9" s="8" t="s">
        <v>216</v>
      </c>
      <c r="B9" s="8">
        <f>647.5++SUM(G3:G7)</f>
        <v>1080.9000000000001</v>
      </c>
      <c r="C9" s="8">
        <v>260</v>
      </c>
    </row>
    <row r="10" spans="1:7">
      <c r="A10" s="8" t="s">
        <v>217</v>
      </c>
      <c r="B10" s="8">
        <f>603.1++SUM(G3:G7)</f>
        <v>1036.5</v>
      </c>
      <c r="C10" s="8">
        <v>260</v>
      </c>
    </row>
    <row r="11" spans="1:7">
      <c r="A11" s="8" t="s">
        <v>218</v>
      </c>
      <c r="B11" s="8">
        <v>647.6</v>
      </c>
      <c r="C11" s="8">
        <v>160</v>
      </c>
    </row>
    <row r="12" spans="1:7">
      <c r="A12" s="8" t="s">
        <v>225</v>
      </c>
      <c r="B12" s="8">
        <f>222.1++SUM(G3:G7)</f>
        <v>655.5</v>
      </c>
      <c r="C12" s="8">
        <v>210</v>
      </c>
    </row>
    <row r="13" spans="1:7">
      <c r="A13" s="8" t="s">
        <v>226</v>
      </c>
      <c r="B13" s="8">
        <f>553.2++SUM(G3:G7)</f>
        <v>986.6</v>
      </c>
      <c r="C13" s="8">
        <v>250</v>
      </c>
    </row>
    <row r="14" spans="1:7">
      <c r="A14" s="8" t="s">
        <v>227</v>
      </c>
      <c r="B14" s="8">
        <f>491.3++SUM(G3:G7)</f>
        <v>924.7</v>
      </c>
      <c r="C14" s="8">
        <v>260</v>
      </c>
    </row>
    <row r="15" spans="1:7">
      <c r="A15" s="8" t="s">
        <v>228</v>
      </c>
      <c r="B15" s="8">
        <f>617.8++SUM(G3:G7)</f>
        <v>1051.1999999999998</v>
      </c>
      <c r="C15" s="8">
        <v>250</v>
      </c>
    </row>
    <row r="16" spans="1:7">
      <c r="A16" s="8" t="s">
        <v>229</v>
      </c>
      <c r="B16" s="8">
        <f>528.2++SUM(G3:G7)</f>
        <v>961.6</v>
      </c>
      <c r="C16" s="8">
        <v>170</v>
      </c>
    </row>
    <row r="17" spans="1:3">
      <c r="A17" s="8" t="s">
        <v>230</v>
      </c>
      <c r="B17" s="8">
        <v>105.6</v>
      </c>
      <c r="C17" s="8">
        <v>45</v>
      </c>
    </row>
    <row r="18" spans="1:3">
      <c r="A18" s="8" t="s">
        <v>231</v>
      </c>
      <c r="B18" s="8">
        <v>104.8</v>
      </c>
      <c r="C18" s="8">
        <v>45</v>
      </c>
    </row>
    <row r="19" spans="1:3">
      <c r="A19" s="8" t="s">
        <v>232</v>
      </c>
      <c r="B19" s="8">
        <v>68.2</v>
      </c>
      <c r="C19" s="8">
        <v>45</v>
      </c>
    </row>
    <row r="20" spans="1:3">
      <c r="A20" s="8" t="s">
        <v>233</v>
      </c>
      <c r="B20" s="8">
        <v>206.4</v>
      </c>
      <c r="C20" s="8">
        <v>55</v>
      </c>
    </row>
    <row r="21" spans="1:3">
      <c r="A21" s="8" t="s">
        <v>234</v>
      </c>
      <c r="B21" s="8">
        <v>107.1</v>
      </c>
      <c r="C21" s="8">
        <v>55</v>
      </c>
    </row>
    <row r="22" spans="1:3">
      <c r="A22" s="8" t="s">
        <v>235</v>
      </c>
      <c r="B22" s="8">
        <v>120</v>
      </c>
      <c r="C22" s="8">
        <v>55</v>
      </c>
    </row>
    <row r="23" spans="1:3">
      <c r="A23" s="8" t="s">
        <v>236</v>
      </c>
      <c r="B23" s="8">
        <v>118.3</v>
      </c>
      <c r="C23" s="8">
        <v>55</v>
      </c>
    </row>
    <row r="24" spans="1:3">
      <c r="A24" s="8" t="s">
        <v>237</v>
      </c>
      <c r="B24" s="8">
        <v>299.3</v>
      </c>
      <c r="C24" s="8">
        <v>65</v>
      </c>
    </row>
    <row r="25" spans="1:3">
      <c r="A25" s="8" t="s">
        <v>238</v>
      </c>
      <c r="B25" s="8">
        <v>600.70000000000005</v>
      </c>
      <c r="C25" s="8">
        <v>65</v>
      </c>
    </row>
    <row r="26" spans="1:3">
      <c r="A26" s="8" t="s">
        <v>239</v>
      </c>
      <c r="B26" s="8">
        <v>286.89999999999998</v>
      </c>
      <c r="C26" s="8">
        <v>65</v>
      </c>
    </row>
    <row r="27" spans="1:3">
      <c r="A27" s="8" t="s">
        <v>240</v>
      </c>
      <c r="B27" s="8">
        <v>379.3</v>
      </c>
      <c r="C27" s="8">
        <v>65</v>
      </c>
    </row>
    <row r="28" spans="1:3">
      <c r="A28" s="8" t="s">
        <v>241</v>
      </c>
      <c r="B28" s="8">
        <v>150</v>
      </c>
      <c r="C28" s="8">
        <v>25</v>
      </c>
    </row>
    <row r="29" spans="1:3">
      <c r="A29" s="12" t="s">
        <v>244</v>
      </c>
      <c r="B29" s="12" t="s">
        <v>208</v>
      </c>
      <c r="C29" s="12" t="s">
        <v>209</v>
      </c>
    </row>
    <row r="30" spans="1:3">
      <c r="A30" s="8" t="s">
        <v>210</v>
      </c>
      <c r="B30" s="8">
        <f>515.3+SUM(G30:G34)</f>
        <v>515.29999999999995</v>
      </c>
      <c r="C30" s="8">
        <v>210</v>
      </c>
    </row>
    <row r="31" spans="1:3">
      <c r="A31" s="8" t="s">
        <v>211</v>
      </c>
      <c r="B31" s="8">
        <f>495.2+SUM(G30:G34)</f>
        <v>495.2</v>
      </c>
      <c r="C31" s="8">
        <v>210</v>
      </c>
    </row>
    <row r="32" spans="1:3">
      <c r="A32" s="8" t="s">
        <v>212</v>
      </c>
      <c r="B32" s="8">
        <f>737.9+SUM(G30:G34)</f>
        <v>737.9</v>
      </c>
      <c r="C32" s="8">
        <v>210</v>
      </c>
    </row>
    <row r="33" spans="1:3">
      <c r="A33" s="8" t="s">
        <v>213</v>
      </c>
      <c r="B33" s="8">
        <f>605.8+SUM(G30:G34)</f>
        <v>605.79999999999995</v>
      </c>
      <c r="C33" s="8">
        <v>210</v>
      </c>
    </row>
    <row r="34" spans="1:3">
      <c r="A34" s="8" t="s">
        <v>214</v>
      </c>
      <c r="B34" s="8">
        <f>446.1+SUM(G30:G34)</f>
        <v>446.1</v>
      </c>
      <c r="C34" s="8">
        <v>210</v>
      </c>
    </row>
    <row r="35" spans="1:3">
      <c r="A35" s="8" t="s">
        <v>215</v>
      </c>
      <c r="B35" s="8">
        <f>587.5+SUM(G30:G34)</f>
        <v>587.5</v>
      </c>
      <c r="C35" s="8">
        <v>250</v>
      </c>
    </row>
    <row r="36" spans="1:3">
      <c r="A36" s="8" t="s">
        <v>216</v>
      </c>
      <c r="B36" s="8">
        <f>647.5++SUM(G30:G34)</f>
        <v>647.5</v>
      </c>
      <c r="C36" s="8">
        <v>260</v>
      </c>
    </row>
    <row r="37" spans="1:3">
      <c r="A37" s="8" t="s">
        <v>217</v>
      </c>
      <c r="B37" s="8">
        <f>603.1++SUM(G30:G34)</f>
        <v>603.1</v>
      </c>
      <c r="C37" s="8">
        <v>260</v>
      </c>
    </row>
    <row r="38" spans="1:3">
      <c r="A38" s="8" t="s">
        <v>218</v>
      </c>
      <c r="B38" s="8">
        <v>647.6</v>
      </c>
      <c r="C38" s="8">
        <v>160</v>
      </c>
    </row>
    <row r="39" spans="1:3">
      <c r="A39" s="8" t="s">
        <v>225</v>
      </c>
      <c r="B39" s="8">
        <f>222.1++SUM(G30:G34)</f>
        <v>222.1</v>
      </c>
      <c r="C39" s="8">
        <v>210</v>
      </c>
    </row>
    <row r="40" spans="1:3">
      <c r="A40" s="8" t="s">
        <v>226</v>
      </c>
      <c r="B40" s="8">
        <f>553.2++SUM(G30:G34)</f>
        <v>553.20000000000005</v>
      </c>
      <c r="C40" s="8">
        <v>250</v>
      </c>
    </row>
    <row r="41" spans="1:3">
      <c r="A41" s="8" t="s">
        <v>227</v>
      </c>
      <c r="B41" s="8">
        <f>491.3++SUM(G30:G34)</f>
        <v>491.3</v>
      </c>
      <c r="C41" s="8">
        <v>260</v>
      </c>
    </row>
    <row r="42" spans="1:3">
      <c r="A42" s="8" t="s">
        <v>228</v>
      </c>
      <c r="B42" s="8">
        <f>617.8++SUM(G30:G34)</f>
        <v>617.79999999999995</v>
      </c>
      <c r="C42" s="8">
        <v>250</v>
      </c>
    </row>
    <row r="43" spans="1:3">
      <c r="A43" s="8" t="s">
        <v>229</v>
      </c>
      <c r="B43" s="8">
        <f>528.2++SUM(G30:G34)</f>
        <v>528.20000000000005</v>
      </c>
      <c r="C43" s="8">
        <v>170</v>
      </c>
    </row>
    <row r="44" spans="1:3">
      <c r="A44" s="8" t="s">
        <v>230</v>
      </c>
      <c r="B44" s="8">
        <v>105.6</v>
      </c>
      <c r="C44" s="8">
        <v>45</v>
      </c>
    </row>
    <row r="45" spans="1:3">
      <c r="A45" s="8" t="s">
        <v>231</v>
      </c>
      <c r="B45" s="8">
        <v>104.8</v>
      </c>
      <c r="C45" s="8">
        <v>45</v>
      </c>
    </row>
    <row r="46" spans="1:3">
      <c r="A46" s="8" t="s">
        <v>232</v>
      </c>
      <c r="B46" s="8">
        <v>68.2</v>
      </c>
      <c r="C46" s="8">
        <v>45</v>
      </c>
    </row>
    <row r="47" spans="1:3">
      <c r="A47" s="8" t="s">
        <v>233</v>
      </c>
      <c r="B47" s="8">
        <v>206.4</v>
      </c>
      <c r="C47" s="8">
        <v>55</v>
      </c>
    </row>
    <row r="48" spans="1:3">
      <c r="A48" s="8" t="s">
        <v>234</v>
      </c>
      <c r="B48" s="8">
        <v>107.1</v>
      </c>
      <c r="C48" s="8">
        <v>55</v>
      </c>
    </row>
    <row r="49" spans="1:3">
      <c r="A49" s="8" t="s">
        <v>235</v>
      </c>
      <c r="B49" s="8">
        <v>120</v>
      </c>
      <c r="C49" s="8">
        <v>55</v>
      </c>
    </row>
    <row r="50" spans="1:3">
      <c r="A50" s="8" t="s">
        <v>236</v>
      </c>
      <c r="B50" s="8">
        <v>118.3</v>
      </c>
      <c r="C50" s="8">
        <v>55</v>
      </c>
    </row>
    <row r="51" spans="1:3">
      <c r="A51" s="8" t="s">
        <v>237</v>
      </c>
      <c r="B51" s="8">
        <v>299.3</v>
      </c>
      <c r="C51" s="8">
        <v>65</v>
      </c>
    </row>
    <row r="52" spans="1:3">
      <c r="A52" s="8" t="s">
        <v>238</v>
      </c>
      <c r="B52" s="8">
        <v>600.70000000000005</v>
      </c>
      <c r="C52" s="8">
        <v>65</v>
      </c>
    </row>
    <row r="53" spans="1:3">
      <c r="A53" s="8" t="s">
        <v>239</v>
      </c>
      <c r="B53" s="8">
        <v>286.89999999999998</v>
      </c>
      <c r="C53" s="8">
        <v>65</v>
      </c>
    </row>
    <row r="54" spans="1:3">
      <c r="A54" s="8" t="s">
        <v>240</v>
      </c>
      <c r="B54" s="8">
        <v>379.3</v>
      </c>
      <c r="C54" s="8">
        <v>65</v>
      </c>
    </row>
    <row r="55" spans="1:3">
      <c r="A55" s="8" t="s">
        <v>241</v>
      </c>
      <c r="B55" s="8">
        <v>150</v>
      </c>
      <c r="C55" s="8">
        <v>25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35A5F-4297-444C-B449-1C7E02720A58}">
  <sheetPr codeName="工作表4"/>
  <dimension ref="A1:C188"/>
  <sheetViews>
    <sheetView topLeftCell="A175" workbookViewId="0">
      <selection activeCell="G157" sqref="G157"/>
    </sheetView>
  </sheetViews>
  <sheetFormatPr defaultColWidth="8.86328125" defaultRowHeight="16.149999999999999"/>
  <cols>
    <col min="1" max="1" width="30.796875" style="14" bestFit="1" customWidth="1"/>
    <col min="2" max="2" width="13.6640625" style="14" bestFit="1" customWidth="1"/>
    <col min="3" max="3" width="30.796875" style="14" customWidth="1"/>
    <col min="4" max="16384" width="8.86328125" style="15"/>
  </cols>
  <sheetData>
    <row r="1" spans="1:3">
      <c r="A1" s="21" t="s">
        <v>64</v>
      </c>
    </row>
    <row r="2" spans="1:3">
      <c r="A2" s="22" t="s">
        <v>60</v>
      </c>
      <c r="B2" s="22" t="s">
        <v>409</v>
      </c>
      <c r="C2" s="22" t="s">
        <v>245</v>
      </c>
    </row>
    <row r="3" spans="1:3">
      <c r="A3" s="16" t="s">
        <v>246</v>
      </c>
      <c r="B3" s="17">
        <v>388</v>
      </c>
      <c r="C3" s="16">
        <v>85</v>
      </c>
    </row>
    <row r="4" spans="1:3">
      <c r="A4" s="16" t="s">
        <v>247</v>
      </c>
      <c r="B4" s="17">
        <v>366</v>
      </c>
      <c r="C4" s="16">
        <v>45</v>
      </c>
    </row>
    <row r="5" spans="1:3">
      <c r="A5" s="18" t="s">
        <v>248</v>
      </c>
      <c r="B5" s="17">
        <v>271</v>
      </c>
      <c r="C5" s="18">
        <v>40</v>
      </c>
    </row>
    <row r="6" spans="1:3">
      <c r="A6" s="18" t="s">
        <v>249</v>
      </c>
      <c r="B6" s="17">
        <v>315</v>
      </c>
      <c r="C6" s="18">
        <v>40</v>
      </c>
    </row>
    <row r="7" spans="1:3">
      <c r="A7" s="18" t="s">
        <v>250</v>
      </c>
      <c r="B7" s="17">
        <v>329</v>
      </c>
      <c r="C7" s="18">
        <v>45</v>
      </c>
    </row>
    <row r="8" spans="1:3">
      <c r="A8" s="16" t="s">
        <v>251</v>
      </c>
      <c r="B8" s="17">
        <v>478</v>
      </c>
      <c r="C8" s="18">
        <v>70</v>
      </c>
    </row>
    <row r="9" spans="1:3">
      <c r="A9" s="18" t="s">
        <v>252</v>
      </c>
      <c r="B9" s="17">
        <v>350</v>
      </c>
      <c r="C9" s="18">
        <v>65</v>
      </c>
    </row>
    <row r="10" spans="1:3">
      <c r="A10" s="18" t="s">
        <v>253</v>
      </c>
      <c r="B10" s="17">
        <v>464</v>
      </c>
      <c r="C10" s="18">
        <v>70</v>
      </c>
    </row>
    <row r="11" spans="1:3">
      <c r="A11" s="18" t="s">
        <v>254</v>
      </c>
      <c r="B11" s="17">
        <v>400</v>
      </c>
      <c r="C11" s="18">
        <v>45</v>
      </c>
    </row>
    <row r="12" spans="1:3">
      <c r="A12" s="18" t="s">
        <v>255</v>
      </c>
      <c r="B12" s="17">
        <v>375</v>
      </c>
      <c r="C12" s="18">
        <v>35</v>
      </c>
    </row>
    <row r="13" spans="1:3">
      <c r="A13" s="18" t="s">
        <v>256</v>
      </c>
      <c r="B13" s="17">
        <v>341</v>
      </c>
      <c r="C13" s="18">
        <v>45</v>
      </c>
    </row>
    <row r="14" spans="1:3">
      <c r="A14" s="18" t="s">
        <v>257</v>
      </c>
      <c r="B14" s="17">
        <v>306</v>
      </c>
      <c r="C14" s="18">
        <v>50</v>
      </c>
    </row>
    <row r="15" spans="1:3">
      <c r="A15" s="18" t="s">
        <v>258</v>
      </c>
      <c r="B15" s="17">
        <v>328</v>
      </c>
      <c r="C15" s="18">
        <v>45</v>
      </c>
    </row>
    <row r="16" spans="1:3">
      <c r="A16" s="18" t="s">
        <v>259</v>
      </c>
      <c r="B16" s="17">
        <v>610</v>
      </c>
      <c r="C16" s="18">
        <v>65</v>
      </c>
    </row>
    <row r="17" spans="1:3">
      <c r="A17" s="18" t="s">
        <v>260</v>
      </c>
      <c r="B17" s="17">
        <v>228</v>
      </c>
      <c r="C17" s="18">
        <v>25</v>
      </c>
    </row>
    <row r="18" spans="1:3">
      <c r="A18" s="18" t="s">
        <v>261</v>
      </c>
      <c r="B18" s="17">
        <v>330</v>
      </c>
      <c r="C18" s="18">
        <v>40</v>
      </c>
    </row>
    <row r="19" spans="1:3">
      <c r="A19" s="18" t="s">
        <v>262</v>
      </c>
      <c r="B19" s="17">
        <v>355</v>
      </c>
      <c r="C19" s="18">
        <v>25</v>
      </c>
    </row>
    <row r="20" spans="1:3">
      <c r="A20" s="18" t="s">
        <v>263</v>
      </c>
      <c r="B20" s="17">
        <v>420</v>
      </c>
      <c r="C20" s="18">
        <v>40</v>
      </c>
    </row>
    <row r="21" spans="1:3">
      <c r="A21" s="18" t="s">
        <v>264</v>
      </c>
      <c r="B21" s="17">
        <v>460</v>
      </c>
      <c r="C21" s="18">
        <v>40</v>
      </c>
    </row>
    <row r="22" spans="1:3">
      <c r="A22" s="18" t="s">
        <v>265</v>
      </c>
      <c r="B22" s="17">
        <v>323</v>
      </c>
      <c r="C22" s="18">
        <v>40</v>
      </c>
    </row>
    <row r="23" spans="1:3">
      <c r="A23" s="18" t="s">
        <v>266</v>
      </c>
      <c r="B23" s="17">
        <v>369</v>
      </c>
      <c r="C23" s="18">
        <v>25</v>
      </c>
    </row>
    <row r="24" spans="1:3">
      <c r="A24" s="18" t="s">
        <v>267</v>
      </c>
      <c r="B24" s="17">
        <v>340</v>
      </c>
      <c r="C24" s="18">
        <v>25</v>
      </c>
    </row>
    <row r="25" spans="1:3">
      <c r="A25" s="18" t="s">
        <v>268</v>
      </c>
      <c r="B25" s="17">
        <v>407</v>
      </c>
      <c r="C25" s="18">
        <v>85</v>
      </c>
    </row>
    <row r="26" spans="1:3">
      <c r="A26" s="18" t="s">
        <v>269</v>
      </c>
      <c r="B26" s="17">
        <v>298</v>
      </c>
      <c r="C26" s="18">
        <v>40</v>
      </c>
    </row>
    <row r="27" spans="1:3">
      <c r="A27" s="18" t="s">
        <v>270</v>
      </c>
      <c r="B27" s="17">
        <v>394</v>
      </c>
      <c r="C27" s="18">
        <v>45</v>
      </c>
    </row>
    <row r="28" spans="1:3">
      <c r="A28" s="18" t="s">
        <v>271</v>
      </c>
      <c r="B28" s="17">
        <v>376</v>
      </c>
      <c r="C28" s="18">
        <v>65</v>
      </c>
    </row>
    <row r="29" spans="1:3">
      <c r="A29" s="18" t="s">
        <v>272</v>
      </c>
      <c r="B29" s="17">
        <v>497</v>
      </c>
      <c r="C29" s="18">
        <v>70</v>
      </c>
    </row>
    <row r="30" spans="1:3">
      <c r="A30" s="18" t="s">
        <v>273</v>
      </c>
      <c r="B30" s="17">
        <v>411</v>
      </c>
      <c r="C30" s="18">
        <v>40</v>
      </c>
    </row>
    <row r="31" spans="1:3">
      <c r="A31" s="18" t="s">
        <v>274</v>
      </c>
      <c r="B31" s="17">
        <v>424</v>
      </c>
      <c r="C31" s="18">
        <v>45</v>
      </c>
    </row>
    <row r="32" spans="1:3">
      <c r="A32" s="18" t="s">
        <v>275</v>
      </c>
      <c r="B32" s="17">
        <v>409</v>
      </c>
      <c r="C32" s="18">
        <v>35</v>
      </c>
    </row>
    <row r="33" spans="1:3">
      <c r="A33" s="18" t="s">
        <v>276</v>
      </c>
      <c r="B33" s="19">
        <v>333</v>
      </c>
      <c r="C33" s="18">
        <v>40</v>
      </c>
    </row>
    <row r="34" spans="1:3">
      <c r="A34" s="18" t="s">
        <v>277</v>
      </c>
      <c r="B34" s="19">
        <v>401</v>
      </c>
      <c r="C34" s="18">
        <v>45</v>
      </c>
    </row>
    <row r="35" spans="1:3">
      <c r="A35" s="18" t="s">
        <v>278</v>
      </c>
      <c r="B35" s="19">
        <v>320</v>
      </c>
      <c r="C35" s="18">
        <v>50</v>
      </c>
    </row>
    <row r="36" spans="1:3">
      <c r="A36" s="18" t="s">
        <v>279</v>
      </c>
      <c r="B36" s="19">
        <v>354</v>
      </c>
      <c r="C36" s="18">
        <v>45</v>
      </c>
    </row>
    <row r="37" spans="1:3">
      <c r="A37" s="18" t="s">
        <v>280</v>
      </c>
      <c r="B37" s="19">
        <v>241</v>
      </c>
      <c r="C37" s="18">
        <v>45</v>
      </c>
    </row>
    <row r="38" spans="1:3">
      <c r="A38" s="18" t="s">
        <v>281</v>
      </c>
      <c r="B38" s="19">
        <v>607</v>
      </c>
      <c r="C38" s="18">
        <v>65</v>
      </c>
    </row>
    <row r="39" spans="1:3">
      <c r="A39" s="14" t="s">
        <v>282</v>
      </c>
      <c r="B39" s="19">
        <v>479</v>
      </c>
      <c r="C39" s="18">
        <v>65</v>
      </c>
    </row>
    <row r="40" spans="1:3">
      <c r="A40" s="14" t="s">
        <v>283</v>
      </c>
      <c r="B40" s="19">
        <v>140</v>
      </c>
      <c r="C40" s="18">
        <v>70</v>
      </c>
    </row>
    <row r="41" spans="1:3">
      <c r="A41" s="14" t="s">
        <v>284</v>
      </c>
      <c r="B41" s="19">
        <v>131</v>
      </c>
      <c r="C41" s="18">
        <v>65</v>
      </c>
    </row>
    <row r="42" spans="1:3">
      <c r="A42" s="14" t="s">
        <v>285</v>
      </c>
      <c r="B42" s="19">
        <v>369</v>
      </c>
      <c r="C42" s="18">
        <v>65</v>
      </c>
    </row>
    <row r="43" spans="1:3">
      <c r="A43" s="14" t="s">
        <v>286</v>
      </c>
      <c r="B43" s="19">
        <v>75</v>
      </c>
      <c r="C43" s="18">
        <v>25</v>
      </c>
    </row>
    <row r="44" spans="1:3">
      <c r="A44" s="14" t="s">
        <v>287</v>
      </c>
      <c r="B44" s="19">
        <v>270</v>
      </c>
      <c r="C44" s="18">
        <v>50</v>
      </c>
    </row>
    <row r="45" spans="1:3">
      <c r="A45" s="14" t="s">
        <v>288</v>
      </c>
      <c r="B45" s="19">
        <v>185</v>
      </c>
      <c r="C45" s="18">
        <v>50</v>
      </c>
    </row>
    <row r="46" spans="1:3">
      <c r="A46" s="14" t="s">
        <v>289</v>
      </c>
      <c r="B46" s="19">
        <v>284</v>
      </c>
      <c r="C46" s="18">
        <v>40</v>
      </c>
    </row>
    <row r="47" spans="1:3">
      <c r="A47" s="14" t="s">
        <v>290</v>
      </c>
      <c r="B47" s="19">
        <v>311</v>
      </c>
      <c r="C47" s="18">
        <v>35</v>
      </c>
    </row>
    <row r="48" spans="1:3">
      <c r="A48" s="14" t="s">
        <v>291</v>
      </c>
      <c r="B48" s="19">
        <v>528</v>
      </c>
      <c r="C48" s="14">
        <v>65</v>
      </c>
    </row>
    <row r="49" spans="1:3">
      <c r="A49" s="14" t="s">
        <v>292</v>
      </c>
      <c r="B49" s="19">
        <v>569</v>
      </c>
      <c r="C49" s="14">
        <v>65</v>
      </c>
    </row>
    <row r="50" spans="1:3">
      <c r="A50" s="14" t="s">
        <v>293</v>
      </c>
      <c r="B50" s="19">
        <v>504</v>
      </c>
      <c r="C50" s="14">
        <v>65</v>
      </c>
    </row>
    <row r="51" spans="1:3">
      <c r="A51" s="14" t="s">
        <v>294</v>
      </c>
      <c r="B51" s="19">
        <v>521</v>
      </c>
      <c r="C51" s="14">
        <v>65</v>
      </c>
    </row>
    <row r="52" spans="1:3">
      <c r="A52" s="14" t="s">
        <v>295</v>
      </c>
      <c r="B52" s="19">
        <v>600</v>
      </c>
      <c r="C52" s="14">
        <v>65</v>
      </c>
    </row>
    <row r="53" spans="1:3">
      <c r="A53" s="14" t="s">
        <v>296</v>
      </c>
      <c r="B53" s="19">
        <v>622</v>
      </c>
      <c r="C53" s="14">
        <v>65</v>
      </c>
    </row>
    <row r="54" spans="1:3">
      <c r="A54" s="14" t="s">
        <v>297</v>
      </c>
      <c r="B54" s="19">
        <v>504</v>
      </c>
      <c r="C54" s="14">
        <v>70</v>
      </c>
    </row>
    <row r="55" spans="1:3">
      <c r="A55" s="14" t="s">
        <v>298</v>
      </c>
      <c r="B55" s="19">
        <v>477</v>
      </c>
      <c r="C55" s="14">
        <v>65</v>
      </c>
    </row>
    <row r="56" spans="1:3">
      <c r="A56" s="14" t="s">
        <v>299</v>
      </c>
      <c r="B56" s="19">
        <v>168</v>
      </c>
      <c r="C56" s="14">
        <v>80</v>
      </c>
    </row>
    <row r="57" spans="1:3">
      <c r="A57" s="14" t="s">
        <v>300</v>
      </c>
      <c r="B57" s="19">
        <v>240</v>
      </c>
      <c r="C57" s="14">
        <v>45</v>
      </c>
    </row>
    <row r="58" spans="1:3">
      <c r="A58" s="14" t="s">
        <v>301</v>
      </c>
      <c r="B58" s="19">
        <v>152</v>
      </c>
      <c r="C58" s="14">
        <v>45</v>
      </c>
    </row>
    <row r="59" spans="1:3">
      <c r="A59" s="14" t="s">
        <v>302</v>
      </c>
      <c r="B59" s="19">
        <v>161</v>
      </c>
      <c r="C59" s="14">
        <v>90</v>
      </c>
    </row>
    <row r="60" spans="1:3">
      <c r="A60" s="14" t="s">
        <v>303</v>
      </c>
      <c r="B60" s="19">
        <v>168</v>
      </c>
      <c r="C60" s="14">
        <v>30</v>
      </c>
    </row>
    <row r="61" spans="1:3">
      <c r="A61" s="14" t="s">
        <v>304</v>
      </c>
      <c r="B61" s="19">
        <v>322</v>
      </c>
      <c r="C61" s="14">
        <v>45</v>
      </c>
    </row>
    <row r="62" spans="1:3">
      <c r="A62" s="14" t="s">
        <v>305</v>
      </c>
      <c r="B62" s="19">
        <v>185</v>
      </c>
      <c r="C62" s="14">
        <v>45</v>
      </c>
    </row>
    <row r="63" spans="1:3">
      <c r="A63" s="14" t="s">
        <v>306</v>
      </c>
      <c r="B63" s="19">
        <v>422</v>
      </c>
      <c r="C63" s="14">
        <v>45</v>
      </c>
    </row>
    <row r="64" spans="1:3">
      <c r="A64" s="14" t="s">
        <v>307</v>
      </c>
      <c r="B64" s="19">
        <v>387</v>
      </c>
      <c r="C64" s="14">
        <v>45</v>
      </c>
    </row>
    <row r="65" spans="1:3">
      <c r="A65" s="14" t="s">
        <v>308</v>
      </c>
      <c r="B65" s="19">
        <v>240</v>
      </c>
      <c r="C65" s="14">
        <v>35</v>
      </c>
    </row>
    <row r="66" spans="1:3">
      <c r="A66" s="14" t="s">
        <v>309</v>
      </c>
      <c r="B66" s="19">
        <v>273</v>
      </c>
      <c r="C66" s="14">
        <v>50</v>
      </c>
    </row>
    <row r="67" spans="1:3">
      <c r="A67" s="14" t="s">
        <v>310</v>
      </c>
      <c r="B67" s="19">
        <v>304</v>
      </c>
      <c r="C67" s="14">
        <v>45</v>
      </c>
    </row>
    <row r="68" spans="1:3">
      <c r="A68" s="14" t="s">
        <v>311</v>
      </c>
      <c r="B68" s="19">
        <v>251</v>
      </c>
      <c r="C68" s="14">
        <v>40</v>
      </c>
    </row>
    <row r="69" spans="1:3">
      <c r="A69" s="14" t="s">
        <v>312</v>
      </c>
      <c r="B69" s="19">
        <v>181</v>
      </c>
      <c r="C69" s="14">
        <v>40</v>
      </c>
    </row>
    <row r="70" spans="1:3">
      <c r="A70" s="14" t="s">
        <v>313</v>
      </c>
      <c r="B70" s="19">
        <v>281</v>
      </c>
      <c r="C70" s="14">
        <v>70</v>
      </c>
    </row>
    <row r="71" spans="1:3">
      <c r="A71" s="14" t="s">
        <v>314</v>
      </c>
      <c r="B71" s="19">
        <v>254</v>
      </c>
      <c r="C71" s="14">
        <v>40</v>
      </c>
    </row>
    <row r="72" spans="1:3">
      <c r="A72" s="14" t="s">
        <v>315</v>
      </c>
      <c r="B72" s="19">
        <v>302</v>
      </c>
      <c r="C72" s="14">
        <v>40</v>
      </c>
    </row>
    <row r="73" spans="1:3">
      <c r="A73" s="14" t="s">
        <v>316</v>
      </c>
      <c r="B73" s="19">
        <v>210</v>
      </c>
      <c r="C73" s="14">
        <v>40</v>
      </c>
    </row>
    <row r="74" spans="1:3">
      <c r="A74" s="14" t="s">
        <v>317</v>
      </c>
      <c r="B74" s="19">
        <v>268</v>
      </c>
      <c r="C74" s="14">
        <v>45</v>
      </c>
    </row>
    <row r="75" spans="1:3">
      <c r="A75" s="14" t="s">
        <v>318</v>
      </c>
      <c r="B75" s="19">
        <v>147</v>
      </c>
      <c r="C75" s="14">
        <v>70</v>
      </c>
    </row>
    <row r="76" spans="1:3">
      <c r="A76" s="14" t="s">
        <v>319</v>
      </c>
      <c r="B76" s="19">
        <v>207</v>
      </c>
      <c r="C76" s="14">
        <v>75</v>
      </c>
    </row>
    <row r="77" spans="1:3">
      <c r="A77" s="14" t="s">
        <v>320</v>
      </c>
      <c r="B77" s="19">
        <v>160</v>
      </c>
      <c r="C77" s="14">
        <v>30</v>
      </c>
    </row>
    <row r="78" spans="1:3">
      <c r="A78" s="14" t="s">
        <v>321</v>
      </c>
      <c r="B78" s="19">
        <v>295</v>
      </c>
      <c r="C78" s="14">
        <v>50</v>
      </c>
    </row>
    <row r="79" spans="1:3">
      <c r="A79" s="14" t="s">
        <v>322</v>
      </c>
      <c r="B79" s="19">
        <v>211</v>
      </c>
      <c r="C79" s="14">
        <v>55</v>
      </c>
    </row>
    <row r="80" spans="1:3">
      <c r="A80" s="14" t="s">
        <v>323</v>
      </c>
      <c r="B80" s="19">
        <v>290</v>
      </c>
      <c r="C80" s="14">
        <v>45</v>
      </c>
    </row>
    <row r="81" spans="1:3">
      <c r="A81" s="14" t="s">
        <v>324</v>
      </c>
      <c r="B81" s="19">
        <v>300</v>
      </c>
      <c r="C81" s="14">
        <v>40</v>
      </c>
    </row>
    <row r="82" spans="1:3">
      <c r="A82" s="14" t="s">
        <v>325</v>
      </c>
      <c r="B82" s="19">
        <v>307</v>
      </c>
      <c r="C82" s="14">
        <v>40</v>
      </c>
    </row>
    <row r="83" spans="1:3">
      <c r="A83" s="14" t="s">
        <v>326</v>
      </c>
      <c r="B83" s="19">
        <v>320</v>
      </c>
      <c r="C83" s="14">
        <v>60</v>
      </c>
    </row>
    <row r="84" spans="1:3">
      <c r="A84" s="14" t="s">
        <v>327</v>
      </c>
      <c r="B84" s="19">
        <v>328</v>
      </c>
      <c r="C84" s="14">
        <v>70</v>
      </c>
    </row>
    <row r="85" spans="1:3">
      <c r="A85" s="14" t="s">
        <v>328</v>
      </c>
      <c r="B85" s="19">
        <v>358</v>
      </c>
      <c r="C85" s="14">
        <v>70</v>
      </c>
    </row>
    <row r="86" spans="1:3">
      <c r="A86" s="14" t="s">
        <v>329</v>
      </c>
      <c r="B86" s="19">
        <v>359</v>
      </c>
      <c r="C86" s="14">
        <v>60</v>
      </c>
    </row>
    <row r="87" spans="1:3">
      <c r="A87" s="14" t="s">
        <v>330</v>
      </c>
      <c r="B87" s="19">
        <v>377</v>
      </c>
      <c r="C87" s="14">
        <v>55</v>
      </c>
    </row>
    <row r="88" spans="1:3">
      <c r="A88" s="14" t="s">
        <v>331</v>
      </c>
      <c r="B88" s="19">
        <v>384</v>
      </c>
      <c r="C88" s="14">
        <v>45</v>
      </c>
    </row>
    <row r="89" spans="1:3">
      <c r="A89" s="14" t="s">
        <v>332</v>
      </c>
      <c r="B89" s="19">
        <v>392</v>
      </c>
      <c r="C89" s="14">
        <v>55</v>
      </c>
    </row>
    <row r="90" spans="1:3">
      <c r="A90" s="14" t="s">
        <v>333</v>
      </c>
      <c r="B90" s="19">
        <v>399</v>
      </c>
      <c r="C90" s="14">
        <v>65</v>
      </c>
    </row>
    <row r="91" spans="1:3">
      <c r="A91" s="14" t="s">
        <v>334</v>
      </c>
      <c r="B91" s="19">
        <v>402</v>
      </c>
      <c r="C91" s="14">
        <v>40</v>
      </c>
    </row>
    <row r="92" spans="1:3">
      <c r="A92" s="14" t="s">
        <v>335</v>
      </c>
      <c r="B92" s="19">
        <v>417</v>
      </c>
      <c r="C92" s="14">
        <v>50</v>
      </c>
    </row>
    <row r="93" spans="1:3">
      <c r="A93" s="14" t="s">
        <v>336</v>
      </c>
      <c r="B93" s="19">
        <v>422</v>
      </c>
      <c r="C93" s="14">
        <v>65</v>
      </c>
    </row>
    <row r="94" spans="1:3">
      <c r="A94" s="14" t="s">
        <v>337</v>
      </c>
      <c r="B94" s="19">
        <v>424</v>
      </c>
      <c r="C94" s="14">
        <v>40</v>
      </c>
    </row>
    <row r="95" spans="1:3">
      <c r="A95" s="14" t="s">
        <v>338</v>
      </c>
      <c r="B95" s="19">
        <v>430</v>
      </c>
      <c r="C95" s="14">
        <v>80</v>
      </c>
    </row>
    <row r="96" spans="1:3">
      <c r="A96" s="14" t="s">
        <v>339</v>
      </c>
      <c r="B96" s="19">
        <v>433</v>
      </c>
      <c r="C96" s="14">
        <v>60</v>
      </c>
    </row>
    <row r="97" spans="1:3">
      <c r="A97" s="14" t="s">
        <v>340</v>
      </c>
      <c r="B97" s="19">
        <v>439</v>
      </c>
      <c r="C97" s="14">
        <v>70</v>
      </c>
    </row>
    <row r="98" spans="1:3">
      <c r="A98" s="14" t="s">
        <v>341</v>
      </c>
      <c r="B98" s="19">
        <v>440</v>
      </c>
      <c r="C98" s="14">
        <v>60</v>
      </c>
    </row>
    <row r="99" spans="1:3">
      <c r="A99" s="14" t="s">
        <v>342</v>
      </c>
      <c r="B99" s="19">
        <v>449</v>
      </c>
      <c r="C99" s="14">
        <v>55</v>
      </c>
    </row>
    <row r="100" spans="1:3">
      <c r="A100" s="14" t="s">
        <v>343</v>
      </c>
      <c r="B100" s="19">
        <v>454</v>
      </c>
      <c r="C100" s="14">
        <v>80</v>
      </c>
    </row>
    <row r="101" spans="1:3">
      <c r="A101" s="14" t="s">
        <v>344</v>
      </c>
      <c r="B101" s="19">
        <v>459</v>
      </c>
      <c r="C101" s="14">
        <v>60</v>
      </c>
    </row>
    <row r="102" spans="1:3">
      <c r="A102" s="14" t="s">
        <v>345</v>
      </c>
      <c r="B102" s="19">
        <v>474</v>
      </c>
      <c r="C102" s="14">
        <v>60</v>
      </c>
    </row>
    <row r="103" spans="1:3">
      <c r="A103" s="14" t="s">
        <v>346</v>
      </c>
      <c r="B103" s="19">
        <v>480</v>
      </c>
      <c r="C103" s="14">
        <v>100</v>
      </c>
    </row>
    <row r="104" spans="1:3">
      <c r="A104" s="14" t="s">
        <v>347</v>
      </c>
      <c r="B104" s="19">
        <v>480</v>
      </c>
      <c r="C104" s="14">
        <v>100</v>
      </c>
    </row>
    <row r="105" spans="1:3">
      <c r="A105" s="14" t="s">
        <v>348</v>
      </c>
      <c r="B105" s="19">
        <v>482</v>
      </c>
      <c r="C105" s="14">
        <v>60</v>
      </c>
    </row>
    <row r="106" spans="1:3">
      <c r="A106" s="14" t="s">
        <v>349</v>
      </c>
      <c r="B106" s="19">
        <v>486</v>
      </c>
      <c r="C106" s="14">
        <v>50</v>
      </c>
    </row>
    <row r="107" spans="1:3">
      <c r="A107" s="14" t="s">
        <v>350</v>
      </c>
      <c r="B107" s="19">
        <v>488</v>
      </c>
      <c r="C107" s="14">
        <v>55</v>
      </c>
    </row>
    <row r="108" spans="1:3">
      <c r="A108" s="14" t="s">
        <v>350</v>
      </c>
      <c r="B108" s="19">
        <v>488</v>
      </c>
      <c r="C108" s="14">
        <v>65</v>
      </c>
    </row>
    <row r="109" spans="1:3">
      <c r="A109" s="14" t="s">
        <v>351</v>
      </c>
      <c r="B109" s="19">
        <v>490</v>
      </c>
      <c r="C109" s="14">
        <v>55</v>
      </c>
    </row>
    <row r="110" spans="1:3">
      <c r="A110" s="14" t="s">
        <v>352</v>
      </c>
      <c r="B110" s="19">
        <v>503</v>
      </c>
      <c r="C110" s="14">
        <v>60</v>
      </c>
    </row>
    <row r="111" spans="1:3">
      <c r="A111" s="14" t="s">
        <v>353</v>
      </c>
      <c r="B111" s="19">
        <v>508</v>
      </c>
      <c r="C111" s="14">
        <v>60</v>
      </c>
    </row>
    <row r="112" spans="1:3">
      <c r="A112" s="14" t="s">
        <v>354</v>
      </c>
      <c r="B112" s="19">
        <v>513</v>
      </c>
      <c r="C112" s="14">
        <v>60</v>
      </c>
    </row>
    <row r="113" spans="1:3">
      <c r="A113" s="14" t="s">
        <v>355</v>
      </c>
      <c r="B113" s="19">
        <v>519</v>
      </c>
      <c r="C113" s="14">
        <v>60</v>
      </c>
    </row>
    <row r="114" spans="1:3">
      <c r="A114" s="14" t="s">
        <v>356</v>
      </c>
      <c r="B114" s="19">
        <v>527</v>
      </c>
      <c r="C114" s="14">
        <v>55</v>
      </c>
    </row>
    <row r="115" spans="1:3">
      <c r="A115" s="14" t="s">
        <v>357</v>
      </c>
      <c r="B115" s="19">
        <v>529</v>
      </c>
      <c r="C115" s="14">
        <v>55</v>
      </c>
    </row>
    <row r="116" spans="1:3">
      <c r="A116" s="14" t="s">
        <v>358</v>
      </c>
      <c r="B116" s="19">
        <v>542</v>
      </c>
      <c r="C116" s="14">
        <v>55</v>
      </c>
    </row>
    <row r="117" spans="1:3">
      <c r="A117" s="14" t="s">
        <v>359</v>
      </c>
      <c r="B117" s="19">
        <v>550</v>
      </c>
      <c r="C117" s="14">
        <v>85</v>
      </c>
    </row>
    <row r="118" spans="1:3">
      <c r="A118" s="14" t="s">
        <v>360</v>
      </c>
      <c r="B118" s="19">
        <v>562</v>
      </c>
      <c r="C118" s="14">
        <v>85</v>
      </c>
    </row>
    <row r="119" spans="1:3">
      <c r="A119" s="14" t="s">
        <v>361</v>
      </c>
      <c r="B119" s="19">
        <v>570</v>
      </c>
      <c r="C119" s="14">
        <v>75</v>
      </c>
    </row>
    <row r="120" spans="1:3">
      <c r="A120" s="14" t="s">
        <v>362</v>
      </c>
      <c r="B120" s="19">
        <v>570</v>
      </c>
      <c r="C120" s="14">
        <v>85</v>
      </c>
    </row>
    <row r="121" spans="1:3">
      <c r="A121" s="14" t="s">
        <v>363</v>
      </c>
      <c r="B121" s="19">
        <v>570</v>
      </c>
      <c r="C121" s="14">
        <v>85</v>
      </c>
    </row>
    <row r="122" spans="1:3">
      <c r="A122" s="14" t="s">
        <v>364</v>
      </c>
      <c r="B122" s="19">
        <v>686</v>
      </c>
      <c r="C122" s="14">
        <v>80</v>
      </c>
    </row>
    <row r="123" spans="1:3">
      <c r="A123" s="14" t="s">
        <v>365</v>
      </c>
      <c r="B123" s="19">
        <v>725</v>
      </c>
      <c r="C123" s="14">
        <v>80</v>
      </c>
    </row>
    <row r="124" spans="1:3">
      <c r="A124" s="14" t="s">
        <v>100</v>
      </c>
      <c r="B124" s="14">
        <v>13</v>
      </c>
      <c r="C124" s="14">
        <v>40</v>
      </c>
    </row>
    <row r="125" spans="1:3">
      <c r="A125" s="14" t="s">
        <v>394</v>
      </c>
      <c r="B125" s="14">
        <v>50</v>
      </c>
      <c r="C125" s="14">
        <v>50</v>
      </c>
    </row>
    <row r="126" spans="1:3">
      <c r="A126" s="14" t="s">
        <v>395</v>
      </c>
      <c r="B126" s="14">
        <v>89</v>
      </c>
      <c r="C126" s="14">
        <v>35</v>
      </c>
    </row>
    <row r="127" spans="1:3">
      <c r="A127" s="14" t="s">
        <v>396</v>
      </c>
      <c r="B127" s="14">
        <v>92</v>
      </c>
      <c r="C127" s="14">
        <v>50</v>
      </c>
    </row>
    <row r="128" spans="1:3">
      <c r="A128" s="14" t="s">
        <v>106</v>
      </c>
      <c r="B128" s="14">
        <v>104</v>
      </c>
      <c r="C128" s="14">
        <v>50</v>
      </c>
    </row>
    <row r="129" spans="1:3">
      <c r="A129" s="14" t="s">
        <v>397</v>
      </c>
      <c r="B129" s="14">
        <v>131</v>
      </c>
      <c r="C129" s="14">
        <v>55</v>
      </c>
    </row>
    <row r="130" spans="1:3">
      <c r="A130" s="14" t="s">
        <v>109</v>
      </c>
      <c r="B130" s="14">
        <v>131</v>
      </c>
      <c r="C130" s="14">
        <v>55</v>
      </c>
    </row>
    <row r="131" spans="1:3">
      <c r="A131" s="14" t="s">
        <v>398</v>
      </c>
      <c r="B131" s="14">
        <v>153</v>
      </c>
      <c r="C131" s="14">
        <v>45</v>
      </c>
    </row>
    <row r="132" spans="1:3">
      <c r="A132" s="14" t="s">
        <v>399</v>
      </c>
      <c r="B132" s="14">
        <v>158</v>
      </c>
      <c r="C132" s="14">
        <v>30</v>
      </c>
    </row>
    <row r="133" spans="1:3">
      <c r="A133" s="14" t="s">
        <v>400</v>
      </c>
      <c r="B133" s="14">
        <v>158</v>
      </c>
      <c r="C133" s="14">
        <v>30</v>
      </c>
    </row>
    <row r="134" spans="1:3">
      <c r="A134" s="14" t="s">
        <v>401</v>
      </c>
      <c r="B134" s="14">
        <v>175</v>
      </c>
      <c r="C134" s="14">
        <v>65</v>
      </c>
    </row>
    <row r="135" spans="1:3">
      <c r="A135" s="14" t="s">
        <v>402</v>
      </c>
      <c r="B135" s="14">
        <v>199</v>
      </c>
      <c r="C135" s="14">
        <v>30</v>
      </c>
    </row>
    <row r="136" spans="1:3">
      <c r="A136" s="14" t="s">
        <v>403</v>
      </c>
      <c r="B136" s="14">
        <v>202</v>
      </c>
      <c r="C136" s="14">
        <v>40</v>
      </c>
    </row>
    <row r="137" spans="1:3">
      <c r="A137" s="14" t="s">
        <v>404</v>
      </c>
      <c r="B137" s="14">
        <v>206</v>
      </c>
      <c r="C137" s="14">
        <v>40</v>
      </c>
    </row>
    <row r="138" spans="1:3">
      <c r="A138" s="14" t="s">
        <v>405</v>
      </c>
      <c r="B138" s="14">
        <v>219</v>
      </c>
      <c r="C138" s="14">
        <v>35</v>
      </c>
    </row>
    <row r="139" spans="1:3">
      <c r="A139" s="14" t="s">
        <v>406</v>
      </c>
      <c r="B139" s="14">
        <v>257</v>
      </c>
      <c r="C139" s="14">
        <v>40</v>
      </c>
    </row>
    <row r="140" spans="1:3">
      <c r="A140" s="14" t="s">
        <v>407</v>
      </c>
      <c r="B140" s="14">
        <v>257</v>
      </c>
      <c r="C140" s="14">
        <v>50</v>
      </c>
    </row>
    <row r="141" spans="1:3">
      <c r="A141" s="14" t="s">
        <v>408</v>
      </c>
      <c r="B141" s="14">
        <v>352</v>
      </c>
      <c r="C141" s="14">
        <v>50</v>
      </c>
    </row>
    <row r="142" spans="1:3">
      <c r="A142" s="20" t="s">
        <v>4</v>
      </c>
      <c r="B142" s="20" t="s">
        <v>409</v>
      </c>
      <c r="C142" s="20" t="s">
        <v>245</v>
      </c>
    </row>
    <row r="143" spans="1:3">
      <c r="A143" s="14" t="s">
        <v>366</v>
      </c>
      <c r="B143" s="14">
        <v>330</v>
      </c>
      <c r="C143" s="14">
        <v>50</v>
      </c>
    </row>
    <row r="144" spans="1:3">
      <c r="A144" s="14" t="s">
        <v>367</v>
      </c>
      <c r="B144" s="14">
        <v>362</v>
      </c>
      <c r="C144" s="14">
        <v>50</v>
      </c>
    </row>
    <row r="145" spans="1:3">
      <c r="A145" s="14" t="s">
        <v>368</v>
      </c>
      <c r="B145" s="14">
        <v>366</v>
      </c>
      <c r="C145" s="14">
        <v>155</v>
      </c>
    </row>
    <row r="146" spans="1:3">
      <c r="A146" s="14" t="s">
        <v>369</v>
      </c>
      <c r="B146" s="14">
        <v>424</v>
      </c>
      <c r="C146" s="14">
        <v>55</v>
      </c>
    </row>
    <row r="147" spans="1:3">
      <c r="A147" s="14" t="s">
        <v>370</v>
      </c>
      <c r="B147" s="14">
        <v>430</v>
      </c>
      <c r="C147" s="14">
        <v>120</v>
      </c>
    </row>
    <row r="148" spans="1:3">
      <c r="A148" s="14" t="s">
        <v>371</v>
      </c>
      <c r="B148" s="14">
        <v>435</v>
      </c>
      <c r="C148" s="14">
        <v>55</v>
      </c>
    </row>
    <row r="149" spans="1:3">
      <c r="A149" s="14" t="s">
        <v>372</v>
      </c>
      <c r="B149" s="14">
        <v>439</v>
      </c>
      <c r="C149" s="14">
        <v>110</v>
      </c>
    </row>
    <row r="150" spans="1:3">
      <c r="A150" s="14" t="s">
        <v>373</v>
      </c>
      <c r="B150" s="14">
        <v>442</v>
      </c>
      <c r="C150" s="14">
        <v>130</v>
      </c>
    </row>
    <row r="151" spans="1:3">
      <c r="A151" s="14" t="s">
        <v>374</v>
      </c>
      <c r="B151" s="14">
        <v>460</v>
      </c>
      <c r="C151" s="14">
        <v>130</v>
      </c>
    </row>
    <row r="152" spans="1:3">
      <c r="A152" s="14" t="s">
        <v>375</v>
      </c>
      <c r="B152" s="14">
        <v>470</v>
      </c>
      <c r="C152" s="14">
        <v>135</v>
      </c>
    </row>
    <row r="153" spans="1:3">
      <c r="A153" s="14" t="s">
        <v>376</v>
      </c>
      <c r="B153" s="14">
        <v>472</v>
      </c>
      <c r="C153" s="14">
        <v>120</v>
      </c>
    </row>
    <row r="154" spans="1:3">
      <c r="A154" s="14" t="s">
        <v>377</v>
      </c>
      <c r="B154" s="14">
        <v>480</v>
      </c>
      <c r="C154" s="14">
        <v>120</v>
      </c>
    </row>
    <row r="155" spans="1:3">
      <c r="A155" s="14" t="s">
        <v>378</v>
      </c>
      <c r="B155" s="14">
        <v>492</v>
      </c>
      <c r="C155" s="14">
        <v>130</v>
      </c>
    </row>
    <row r="156" spans="1:3">
      <c r="A156" s="14" t="s">
        <v>379</v>
      </c>
      <c r="B156" s="14">
        <v>494</v>
      </c>
      <c r="C156" s="14">
        <v>145</v>
      </c>
    </row>
    <row r="157" spans="1:3">
      <c r="A157" s="14" t="s">
        <v>380</v>
      </c>
      <c r="B157" s="14">
        <v>506</v>
      </c>
      <c r="C157" s="14">
        <v>130</v>
      </c>
    </row>
    <row r="158" spans="1:3">
      <c r="A158" s="14" t="s">
        <v>381</v>
      </c>
      <c r="B158" s="14">
        <v>527</v>
      </c>
      <c r="C158" s="14">
        <v>115</v>
      </c>
    </row>
    <row r="159" spans="1:3">
      <c r="A159" s="14" t="s">
        <v>382</v>
      </c>
      <c r="B159" s="14">
        <v>560</v>
      </c>
      <c r="C159" s="14">
        <v>130</v>
      </c>
    </row>
    <row r="160" spans="1:3">
      <c r="A160" s="14" t="s">
        <v>383</v>
      </c>
      <c r="B160" s="14">
        <v>589</v>
      </c>
      <c r="C160" s="14">
        <v>110</v>
      </c>
    </row>
    <row r="161" spans="1:3">
      <c r="A161" s="14" t="s">
        <v>384</v>
      </c>
      <c r="B161" s="14">
        <v>590</v>
      </c>
      <c r="C161" s="14">
        <v>120</v>
      </c>
    </row>
    <row r="162" spans="1:3">
      <c r="A162" s="14" t="s">
        <v>385</v>
      </c>
      <c r="B162" s="14">
        <v>619</v>
      </c>
      <c r="C162" s="14">
        <v>115</v>
      </c>
    </row>
    <row r="163" spans="1:3">
      <c r="A163" s="14" t="s">
        <v>386</v>
      </c>
      <c r="B163" s="14">
        <v>668</v>
      </c>
      <c r="C163" s="14">
        <v>105</v>
      </c>
    </row>
    <row r="164" spans="1:3">
      <c r="A164" s="14" t="s">
        <v>387</v>
      </c>
      <c r="B164" s="14">
        <v>683</v>
      </c>
      <c r="C164" s="14">
        <v>125</v>
      </c>
    </row>
    <row r="165" spans="1:3">
      <c r="A165" s="14" t="s">
        <v>388</v>
      </c>
      <c r="B165" s="14">
        <v>712</v>
      </c>
      <c r="C165" s="14">
        <v>125</v>
      </c>
    </row>
    <row r="166" spans="1:3">
      <c r="A166" s="14" t="s">
        <v>389</v>
      </c>
      <c r="B166" s="14">
        <v>745</v>
      </c>
      <c r="C166" s="14">
        <v>150</v>
      </c>
    </row>
    <row r="167" spans="1:3">
      <c r="A167" s="14" t="s">
        <v>390</v>
      </c>
      <c r="B167" s="14">
        <v>751</v>
      </c>
      <c r="C167" s="14">
        <v>130</v>
      </c>
    </row>
    <row r="168" spans="1:3">
      <c r="A168" s="14" t="s">
        <v>391</v>
      </c>
      <c r="B168" s="14">
        <v>761</v>
      </c>
      <c r="C168" s="14">
        <v>190</v>
      </c>
    </row>
    <row r="169" spans="1:3">
      <c r="A169" s="14" t="s">
        <v>392</v>
      </c>
      <c r="B169" s="14">
        <v>859</v>
      </c>
      <c r="C169" s="14">
        <v>160</v>
      </c>
    </row>
    <row r="170" spans="1:3">
      <c r="A170" s="14" t="s">
        <v>393</v>
      </c>
      <c r="B170" s="14">
        <v>1062</v>
      </c>
      <c r="C170" s="14">
        <v>155</v>
      </c>
    </row>
    <row r="171" spans="1:3">
      <c r="A171" s="14" t="s">
        <v>100</v>
      </c>
      <c r="B171" s="14">
        <v>13</v>
      </c>
      <c r="C171" s="14">
        <v>40</v>
      </c>
    </row>
    <row r="172" spans="1:3">
      <c r="A172" s="14" t="s">
        <v>394</v>
      </c>
      <c r="B172" s="14">
        <v>50</v>
      </c>
      <c r="C172" s="14">
        <v>50</v>
      </c>
    </row>
    <row r="173" spans="1:3">
      <c r="A173" s="14" t="s">
        <v>395</v>
      </c>
      <c r="B173" s="14">
        <v>89</v>
      </c>
      <c r="C173" s="14">
        <v>35</v>
      </c>
    </row>
    <row r="174" spans="1:3">
      <c r="A174" s="14" t="s">
        <v>396</v>
      </c>
      <c r="B174" s="14">
        <v>92</v>
      </c>
      <c r="C174" s="14">
        <v>50</v>
      </c>
    </row>
    <row r="175" spans="1:3">
      <c r="A175" s="14" t="s">
        <v>106</v>
      </c>
      <c r="B175" s="14">
        <v>104</v>
      </c>
      <c r="C175" s="14">
        <v>50</v>
      </c>
    </row>
    <row r="176" spans="1:3">
      <c r="A176" s="14" t="s">
        <v>397</v>
      </c>
      <c r="B176" s="14">
        <v>131</v>
      </c>
      <c r="C176" s="14">
        <v>55</v>
      </c>
    </row>
    <row r="177" spans="1:3">
      <c r="A177" s="14" t="s">
        <v>109</v>
      </c>
      <c r="B177" s="14">
        <v>131</v>
      </c>
      <c r="C177" s="14">
        <v>55</v>
      </c>
    </row>
    <row r="178" spans="1:3">
      <c r="A178" s="14" t="s">
        <v>398</v>
      </c>
      <c r="B178" s="14">
        <v>153</v>
      </c>
      <c r="C178" s="14">
        <v>45</v>
      </c>
    </row>
    <row r="179" spans="1:3">
      <c r="A179" s="14" t="s">
        <v>399</v>
      </c>
      <c r="B179" s="14">
        <v>158</v>
      </c>
      <c r="C179" s="14">
        <v>30</v>
      </c>
    </row>
    <row r="180" spans="1:3">
      <c r="A180" s="14" t="s">
        <v>400</v>
      </c>
      <c r="B180" s="14">
        <v>158</v>
      </c>
      <c r="C180" s="14">
        <v>30</v>
      </c>
    </row>
    <row r="181" spans="1:3">
      <c r="A181" s="14" t="s">
        <v>401</v>
      </c>
      <c r="B181" s="14">
        <v>175</v>
      </c>
      <c r="C181" s="14">
        <v>65</v>
      </c>
    </row>
    <row r="182" spans="1:3">
      <c r="A182" s="14" t="s">
        <v>402</v>
      </c>
      <c r="B182" s="14">
        <v>199</v>
      </c>
      <c r="C182" s="14">
        <v>30</v>
      </c>
    </row>
    <row r="183" spans="1:3">
      <c r="A183" s="14" t="s">
        <v>403</v>
      </c>
      <c r="B183" s="14">
        <v>202</v>
      </c>
      <c r="C183" s="14">
        <v>40</v>
      </c>
    </row>
    <row r="184" spans="1:3">
      <c r="A184" s="14" t="s">
        <v>404</v>
      </c>
      <c r="B184" s="14">
        <v>206</v>
      </c>
      <c r="C184" s="14">
        <v>40</v>
      </c>
    </row>
    <row r="185" spans="1:3">
      <c r="A185" s="14" t="s">
        <v>405</v>
      </c>
      <c r="B185" s="14">
        <v>219</v>
      </c>
      <c r="C185" s="14">
        <v>35</v>
      </c>
    </row>
    <row r="186" spans="1:3">
      <c r="A186" s="14" t="s">
        <v>406</v>
      </c>
      <c r="B186" s="14">
        <v>257</v>
      </c>
      <c r="C186" s="14">
        <v>40</v>
      </c>
    </row>
    <row r="187" spans="1:3">
      <c r="A187" s="14" t="s">
        <v>407</v>
      </c>
      <c r="B187" s="14">
        <v>257</v>
      </c>
      <c r="C187" s="14">
        <v>50</v>
      </c>
    </row>
    <row r="188" spans="1:3">
      <c r="A188" s="14" t="s">
        <v>408</v>
      </c>
      <c r="B188" s="14">
        <v>352</v>
      </c>
      <c r="C188" s="14">
        <v>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824BD-547D-43F0-9AC3-AD5AA7393512}">
  <sheetPr codeName="工作表5"/>
  <dimension ref="A1:C153"/>
  <sheetViews>
    <sheetView workbookViewId="0">
      <selection activeCell="E167" sqref="E167"/>
    </sheetView>
  </sheetViews>
  <sheetFormatPr defaultColWidth="8.86328125" defaultRowHeight="16.149999999999999"/>
  <cols>
    <col min="1" max="1" width="30" style="13" customWidth="1"/>
    <col min="2" max="2" width="11.53125" style="13" customWidth="1"/>
    <col min="3" max="3" width="11.19921875" style="13" customWidth="1"/>
    <col min="4" max="16384" width="8.86328125" style="13"/>
  </cols>
  <sheetData>
    <row r="1" spans="1:3">
      <c r="A1" s="11" t="s">
        <v>410</v>
      </c>
    </row>
    <row r="2" spans="1:3">
      <c r="A2" s="23" t="s">
        <v>564</v>
      </c>
      <c r="B2" s="23" t="s">
        <v>411</v>
      </c>
      <c r="C2" s="23" t="s">
        <v>412</v>
      </c>
    </row>
    <row r="3" spans="1:3">
      <c r="A3" s="13" t="s">
        <v>413</v>
      </c>
      <c r="B3" s="13">
        <v>343.1</v>
      </c>
      <c r="C3" s="13">
        <v>65</v>
      </c>
    </row>
    <row r="4" spans="1:3">
      <c r="A4" s="13" t="s">
        <v>414</v>
      </c>
      <c r="B4" s="13">
        <v>605.1</v>
      </c>
      <c r="C4" s="13">
        <v>65</v>
      </c>
    </row>
    <row r="5" spans="1:3">
      <c r="A5" s="13" t="s">
        <v>415</v>
      </c>
      <c r="B5" s="13">
        <v>395.3</v>
      </c>
      <c r="C5" s="13">
        <v>65</v>
      </c>
    </row>
    <row r="6" spans="1:3">
      <c r="A6" s="13" t="s">
        <v>416</v>
      </c>
      <c r="B6" s="13">
        <v>345</v>
      </c>
      <c r="C6" s="13">
        <v>70</v>
      </c>
    </row>
    <row r="7" spans="1:3">
      <c r="A7" s="13" t="s">
        <v>417</v>
      </c>
      <c r="B7" s="13">
        <v>463.4</v>
      </c>
      <c r="C7" s="13">
        <v>70</v>
      </c>
    </row>
    <row r="8" spans="1:3">
      <c r="A8" s="13" t="s">
        <v>418</v>
      </c>
      <c r="B8" s="13">
        <v>487.2</v>
      </c>
      <c r="C8" s="13">
        <v>70</v>
      </c>
    </row>
    <row r="9" spans="1:3">
      <c r="A9" s="13" t="s">
        <v>419</v>
      </c>
      <c r="B9" s="13">
        <v>475.7</v>
      </c>
      <c r="C9" s="13">
        <v>75</v>
      </c>
    </row>
    <row r="10" spans="1:3">
      <c r="A10" s="13" t="s">
        <v>420</v>
      </c>
      <c r="B10" s="13">
        <v>459.7</v>
      </c>
      <c r="C10" s="13">
        <v>60</v>
      </c>
    </row>
    <row r="11" spans="1:3">
      <c r="A11" s="13" t="s">
        <v>421</v>
      </c>
      <c r="B11" s="13">
        <v>436.1</v>
      </c>
      <c r="C11" s="13">
        <v>60</v>
      </c>
    </row>
    <row r="12" spans="1:3">
      <c r="A12" s="13" t="s">
        <v>422</v>
      </c>
      <c r="B12" s="13">
        <v>463.8</v>
      </c>
      <c r="C12" s="13">
        <v>65</v>
      </c>
    </row>
    <row r="13" spans="1:3">
      <c r="A13" s="13" t="s">
        <v>423</v>
      </c>
      <c r="B13" s="13">
        <v>519.1</v>
      </c>
      <c r="C13" s="13">
        <v>65</v>
      </c>
    </row>
    <row r="14" spans="1:3">
      <c r="A14" s="13" t="s">
        <v>424</v>
      </c>
      <c r="B14" s="13">
        <v>469.6</v>
      </c>
      <c r="C14" s="13">
        <v>80</v>
      </c>
    </row>
    <row r="15" spans="1:3">
      <c r="A15" s="13" t="s">
        <v>425</v>
      </c>
      <c r="B15" s="13">
        <v>592.20000000000005</v>
      </c>
      <c r="C15" s="13">
        <v>75</v>
      </c>
    </row>
    <row r="16" spans="1:3">
      <c r="A16" s="13" t="s">
        <v>426</v>
      </c>
      <c r="B16" s="13">
        <v>611.5</v>
      </c>
      <c r="C16" s="13">
        <v>85</v>
      </c>
    </row>
    <row r="17" spans="1:3">
      <c r="A17" s="13" t="s">
        <v>427</v>
      </c>
      <c r="B17" s="13">
        <v>607.1</v>
      </c>
      <c r="C17" s="13">
        <v>85</v>
      </c>
    </row>
    <row r="18" spans="1:3">
      <c r="A18" s="13" t="s">
        <v>428</v>
      </c>
      <c r="B18" s="13">
        <v>275.7</v>
      </c>
      <c r="C18" s="13">
        <v>55</v>
      </c>
    </row>
    <row r="19" spans="1:3">
      <c r="A19" s="13" t="s">
        <v>429</v>
      </c>
      <c r="B19" s="13">
        <v>289.60000000000002</v>
      </c>
      <c r="C19" s="13">
        <v>55</v>
      </c>
    </row>
    <row r="20" spans="1:3">
      <c r="A20" s="13" t="s">
        <v>430</v>
      </c>
      <c r="B20" s="13">
        <v>291</v>
      </c>
      <c r="C20" s="13">
        <v>55</v>
      </c>
    </row>
    <row r="21" spans="1:3">
      <c r="A21" s="13" t="s">
        <v>431</v>
      </c>
      <c r="B21" s="13">
        <v>378</v>
      </c>
      <c r="C21" s="13">
        <v>55</v>
      </c>
    </row>
    <row r="22" spans="1:3">
      <c r="A22" s="13" t="s">
        <v>432</v>
      </c>
      <c r="B22" s="13">
        <v>407.1</v>
      </c>
      <c r="C22" s="13">
        <v>55</v>
      </c>
    </row>
    <row r="23" spans="1:3">
      <c r="A23" s="13" t="s">
        <v>433</v>
      </c>
      <c r="B23" s="13">
        <v>322.5</v>
      </c>
      <c r="C23" s="13">
        <v>55</v>
      </c>
    </row>
    <row r="24" spans="1:3">
      <c r="A24" s="13" t="s">
        <v>434</v>
      </c>
      <c r="B24" s="13">
        <v>358</v>
      </c>
      <c r="C24" s="13">
        <v>70</v>
      </c>
    </row>
    <row r="25" spans="1:3">
      <c r="A25" s="13" t="s">
        <v>435</v>
      </c>
      <c r="B25" s="13">
        <v>372.4</v>
      </c>
      <c r="C25" s="13">
        <v>70</v>
      </c>
    </row>
    <row r="26" spans="1:3">
      <c r="A26" s="13" t="s">
        <v>436</v>
      </c>
      <c r="B26" s="13">
        <v>301</v>
      </c>
      <c r="C26" s="13">
        <v>70</v>
      </c>
    </row>
    <row r="27" spans="1:3">
      <c r="A27" s="13" t="s">
        <v>437</v>
      </c>
      <c r="B27" s="13">
        <v>363.7</v>
      </c>
      <c r="C27" s="13">
        <v>80</v>
      </c>
    </row>
    <row r="28" spans="1:3">
      <c r="A28" s="13" t="s">
        <v>438</v>
      </c>
      <c r="B28" s="13">
        <v>485.8</v>
      </c>
      <c r="C28" s="13">
        <v>85</v>
      </c>
    </row>
    <row r="29" spans="1:3">
      <c r="A29" s="13" t="s">
        <v>439</v>
      </c>
      <c r="B29" s="13">
        <v>421.8</v>
      </c>
      <c r="C29" s="13">
        <v>80</v>
      </c>
    </row>
    <row r="30" spans="1:3">
      <c r="A30" s="13" t="s">
        <v>440</v>
      </c>
      <c r="B30" s="13">
        <v>315.3</v>
      </c>
      <c r="C30" s="13">
        <v>60</v>
      </c>
    </row>
    <row r="31" spans="1:3">
      <c r="A31" s="13" t="s">
        <v>441</v>
      </c>
      <c r="B31" s="13">
        <v>390.7</v>
      </c>
      <c r="C31" s="13">
        <v>70</v>
      </c>
    </row>
    <row r="32" spans="1:3">
      <c r="A32" s="13" t="s">
        <v>442</v>
      </c>
      <c r="B32" s="13">
        <v>451.5</v>
      </c>
      <c r="C32" s="13">
        <v>80</v>
      </c>
    </row>
    <row r="33" spans="1:3">
      <c r="A33" s="13" t="s">
        <v>443</v>
      </c>
      <c r="B33" s="13">
        <v>523.29999999999995</v>
      </c>
      <c r="C33" s="13">
        <v>90</v>
      </c>
    </row>
    <row r="34" spans="1:3">
      <c r="A34" s="13" t="s">
        <v>444</v>
      </c>
      <c r="B34" s="13">
        <v>394.5</v>
      </c>
      <c r="C34" s="13">
        <v>55</v>
      </c>
    </row>
    <row r="35" spans="1:3">
      <c r="A35" s="13" t="s">
        <v>445</v>
      </c>
      <c r="B35" s="13">
        <v>454.7</v>
      </c>
      <c r="C35" s="13">
        <v>60</v>
      </c>
    </row>
    <row r="36" spans="1:3">
      <c r="A36" s="13" t="s">
        <v>446</v>
      </c>
      <c r="B36" s="13">
        <v>488.9</v>
      </c>
      <c r="C36" s="13">
        <v>65</v>
      </c>
    </row>
    <row r="37" spans="1:3">
      <c r="A37" s="13" t="s">
        <v>447</v>
      </c>
      <c r="B37" s="13">
        <v>290.7</v>
      </c>
      <c r="C37" s="13">
        <v>55</v>
      </c>
    </row>
    <row r="38" spans="1:3">
      <c r="A38" s="13" t="s">
        <v>448</v>
      </c>
      <c r="B38" s="13">
        <v>234.9</v>
      </c>
      <c r="C38" s="13">
        <v>55</v>
      </c>
    </row>
    <row r="39" spans="1:3">
      <c r="A39" s="13" t="s">
        <v>449</v>
      </c>
      <c r="B39" s="13">
        <v>306.60000000000002</v>
      </c>
      <c r="C39" s="13">
        <v>55</v>
      </c>
    </row>
    <row r="40" spans="1:3">
      <c r="A40" s="13" t="s">
        <v>450</v>
      </c>
      <c r="B40" s="13">
        <v>296.89999999999998</v>
      </c>
      <c r="C40" s="13">
        <v>65</v>
      </c>
    </row>
    <row r="41" spans="1:3">
      <c r="A41" s="13" t="s">
        <v>451</v>
      </c>
      <c r="B41" s="13">
        <v>418.9</v>
      </c>
      <c r="C41" s="13">
        <v>70</v>
      </c>
    </row>
    <row r="42" spans="1:3">
      <c r="A42" s="13" t="s">
        <v>452</v>
      </c>
      <c r="B42" s="13">
        <v>355.4</v>
      </c>
      <c r="C42" s="13">
        <v>65</v>
      </c>
    </row>
    <row r="43" spans="1:3">
      <c r="A43" s="13" t="s">
        <v>453</v>
      </c>
      <c r="B43" s="13">
        <v>381.5</v>
      </c>
      <c r="C43" s="13">
        <v>60</v>
      </c>
    </row>
    <row r="44" spans="1:3">
      <c r="A44" s="13" t="s">
        <v>454</v>
      </c>
      <c r="B44" s="13">
        <v>326.10000000000002</v>
      </c>
      <c r="C44" s="13">
        <v>60</v>
      </c>
    </row>
    <row r="45" spans="1:3">
      <c r="A45" s="13" t="s">
        <v>455</v>
      </c>
      <c r="B45" s="13">
        <v>396.3</v>
      </c>
      <c r="C45" s="13">
        <v>60</v>
      </c>
    </row>
    <row r="46" spans="1:3">
      <c r="A46" s="13" t="s">
        <v>456</v>
      </c>
      <c r="B46" s="13">
        <v>387</v>
      </c>
      <c r="C46" s="13">
        <v>70</v>
      </c>
    </row>
    <row r="47" spans="1:3">
      <c r="A47" s="13" t="s">
        <v>457</v>
      </c>
      <c r="B47" s="13">
        <v>510</v>
      </c>
      <c r="C47" s="13">
        <v>75</v>
      </c>
    </row>
    <row r="48" spans="1:3">
      <c r="A48" s="13" t="s">
        <v>458</v>
      </c>
      <c r="B48" s="13">
        <v>446.6</v>
      </c>
      <c r="C48" s="13">
        <v>70</v>
      </c>
    </row>
    <row r="49" spans="1:3">
      <c r="A49" s="13" t="s">
        <v>459</v>
      </c>
      <c r="B49" s="13">
        <v>366.6</v>
      </c>
      <c r="C49" s="13">
        <v>70</v>
      </c>
    </row>
    <row r="50" spans="1:3">
      <c r="A50" s="13" t="s">
        <v>460</v>
      </c>
      <c r="B50" s="13">
        <v>311.60000000000002</v>
      </c>
      <c r="C50" s="13">
        <v>70</v>
      </c>
    </row>
    <row r="51" spans="1:3">
      <c r="A51" s="13" t="s">
        <v>461</v>
      </c>
      <c r="B51" s="13">
        <v>381.5</v>
      </c>
      <c r="C51" s="13">
        <v>70</v>
      </c>
    </row>
    <row r="52" spans="1:3">
      <c r="A52" s="13" t="s">
        <v>462</v>
      </c>
      <c r="B52" s="13">
        <v>373</v>
      </c>
      <c r="C52" s="13">
        <v>80</v>
      </c>
    </row>
    <row r="53" spans="1:3">
      <c r="A53" s="13" t="s">
        <v>463</v>
      </c>
      <c r="B53" s="13">
        <v>495.5</v>
      </c>
      <c r="C53" s="13">
        <v>85</v>
      </c>
    </row>
    <row r="54" spans="1:3">
      <c r="A54" s="13" t="s">
        <v>464</v>
      </c>
      <c r="B54" s="13">
        <v>432.4</v>
      </c>
      <c r="C54" s="13">
        <v>80</v>
      </c>
    </row>
    <row r="55" spans="1:3">
      <c r="A55" s="13" t="s">
        <v>465</v>
      </c>
      <c r="B55" s="13">
        <v>371.9</v>
      </c>
      <c r="C55" s="13">
        <v>70</v>
      </c>
    </row>
    <row r="56" spans="1:3">
      <c r="A56" s="13" t="s">
        <v>466</v>
      </c>
      <c r="B56" s="13">
        <v>315.5</v>
      </c>
      <c r="C56" s="13">
        <v>70</v>
      </c>
    </row>
    <row r="57" spans="1:3">
      <c r="A57" s="13" t="s">
        <v>467</v>
      </c>
      <c r="B57" s="13">
        <v>387.4</v>
      </c>
      <c r="C57" s="13">
        <v>70</v>
      </c>
    </row>
    <row r="58" spans="1:3">
      <c r="A58" s="13" t="s">
        <v>468</v>
      </c>
      <c r="B58" s="13">
        <v>377.7</v>
      </c>
      <c r="C58" s="13">
        <v>80</v>
      </c>
    </row>
    <row r="59" spans="1:3">
      <c r="A59" s="13" t="s">
        <v>469</v>
      </c>
      <c r="B59" s="13">
        <v>436.6</v>
      </c>
      <c r="C59" s="13">
        <v>80</v>
      </c>
    </row>
    <row r="60" spans="1:3">
      <c r="A60" s="13" t="s">
        <v>470</v>
      </c>
      <c r="B60" s="13">
        <v>499.3</v>
      </c>
      <c r="C60" s="13">
        <v>85</v>
      </c>
    </row>
    <row r="61" spans="1:3">
      <c r="A61" s="13" t="s">
        <v>471</v>
      </c>
      <c r="B61" s="13">
        <v>289.2</v>
      </c>
      <c r="C61" s="13">
        <v>55</v>
      </c>
    </row>
    <row r="62" spans="1:3">
      <c r="A62" s="13" t="s">
        <v>472</v>
      </c>
      <c r="B62" s="13">
        <v>304.8</v>
      </c>
      <c r="C62" s="13">
        <v>55</v>
      </c>
    </row>
    <row r="63" spans="1:3">
      <c r="A63" s="13" t="s">
        <v>473</v>
      </c>
      <c r="B63" s="13">
        <v>302.8</v>
      </c>
      <c r="C63" s="13">
        <v>55</v>
      </c>
    </row>
    <row r="64" spans="1:3">
      <c r="A64" s="13" t="s">
        <v>474</v>
      </c>
      <c r="B64" s="13">
        <v>392.2</v>
      </c>
      <c r="C64" s="13">
        <v>55</v>
      </c>
    </row>
    <row r="65" spans="1:3">
      <c r="A65" s="13" t="s">
        <v>475</v>
      </c>
      <c r="B65" s="13">
        <v>420.7</v>
      </c>
      <c r="C65" s="13">
        <v>55</v>
      </c>
    </row>
    <row r="66" spans="1:3">
      <c r="A66" s="13" t="s">
        <v>476</v>
      </c>
      <c r="B66" s="13">
        <v>337.4</v>
      </c>
      <c r="C66" s="13">
        <v>55</v>
      </c>
    </row>
    <row r="67" spans="1:3">
      <c r="A67" s="13" t="s">
        <v>477</v>
      </c>
      <c r="B67" s="13">
        <v>409.6</v>
      </c>
      <c r="C67" s="13">
        <v>65</v>
      </c>
    </row>
    <row r="68" spans="1:3">
      <c r="A68" s="13" t="s">
        <v>478</v>
      </c>
      <c r="B68" s="13">
        <v>489.4</v>
      </c>
      <c r="C68" s="13">
        <v>80</v>
      </c>
    </row>
    <row r="69" spans="1:3">
      <c r="A69" s="13" t="s">
        <v>479</v>
      </c>
      <c r="B69" s="13">
        <v>367.7</v>
      </c>
      <c r="C69" s="13">
        <v>85</v>
      </c>
    </row>
    <row r="70" spans="1:3">
      <c r="A70" s="13" t="s">
        <v>480</v>
      </c>
      <c r="B70" s="13">
        <v>509.2</v>
      </c>
      <c r="C70" s="13">
        <v>90</v>
      </c>
    </row>
    <row r="71" spans="1:3">
      <c r="A71" s="13" t="s">
        <v>481</v>
      </c>
      <c r="B71" s="13">
        <v>505.3</v>
      </c>
      <c r="C71" s="13">
        <v>90</v>
      </c>
    </row>
    <row r="72" spans="1:3">
      <c r="A72" s="13" t="s">
        <v>482</v>
      </c>
      <c r="B72" s="13">
        <v>437.9</v>
      </c>
      <c r="C72" s="13">
        <v>75</v>
      </c>
    </row>
    <row r="73" spans="1:3">
      <c r="A73" s="13" t="s">
        <v>483</v>
      </c>
      <c r="B73" s="13">
        <v>315.3</v>
      </c>
      <c r="C73" s="13">
        <v>80</v>
      </c>
    </row>
    <row r="74" spans="1:3">
      <c r="A74" s="13" t="s">
        <v>484</v>
      </c>
      <c r="B74" s="13">
        <v>456.9</v>
      </c>
      <c r="C74" s="13">
        <v>85</v>
      </c>
    </row>
    <row r="75" spans="1:3">
      <c r="A75" s="13" t="s">
        <v>485</v>
      </c>
      <c r="B75" s="13">
        <v>452.7</v>
      </c>
      <c r="C75" s="13">
        <v>85</v>
      </c>
    </row>
    <row r="76" spans="1:3">
      <c r="A76" s="13" t="s">
        <v>486</v>
      </c>
      <c r="B76" s="13">
        <v>512.4</v>
      </c>
      <c r="C76" s="13">
        <v>85</v>
      </c>
    </row>
    <row r="77" spans="1:3">
      <c r="A77" s="23" t="s">
        <v>487</v>
      </c>
      <c r="B77" s="23" t="s">
        <v>411</v>
      </c>
      <c r="C77" s="23" t="s">
        <v>412</v>
      </c>
    </row>
    <row r="78" spans="1:3">
      <c r="A78" s="13" t="s">
        <v>488</v>
      </c>
      <c r="B78" s="13">
        <v>258.2</v>
      </c>
      <c r="C78" s="13">
        <v>75</v>
      </c>
    </row>
    <row r="79" spans="1:3">
      <c r="A79" s="13" t="s">
        <v>489</v>
      </c>
      <c r="B79" s="13">
        <v>172</v>
      </c>
      <c r="C79" s="13">
        <v>30</v>
      </c>
    </row>
    <row r="80" spans="1:3">
      <c r="A80" s="13" t="s">
        <v>490</v>
      </c>
      <c r="B80" s="13">
        <v>194.6</v>
      </c>
      <c r="C80" s="13">
        <v>70</v>
      </c>
    </row>
    <row r="81" spans="1:3">
      <c r="A81" s="13" t="s">
        <v>491</v>
      </c>
      <c r="B81" s="13">
        <v>191.8</v>
      </c>
      <c r="C81" s="13">
        <v>70</v>
      </c>
    </row>
    <row r="82" spans="1:3">
      <c r="A82" s="13" t="s">
        <v>492</v>
      </c>
      <c r="B82" s="13">
        <v>355</v>
      </c>
      <c r="C82" s="13">
        <v>90</v>
      </c>
    </row>
    <row r="83" spans="1:3">
      <c r="A83" s="13" t="s">
        <v>493</v>
      </c>
      <c r="B83" s="13">
        <v>222.6</v>
      </c>
      <c r="C83" s="13">
        <v>65</v>
      </c>
    </row>
    <row r="84" spans="1:3">
      <c r="A84" s="13" t="s">
        <v>494</v>
      </c>
      <c r="B84" s="13">
        <v>312.8</v>
      </c>
      <c r="C84" s="13">
        <v>45</v>
      </c>
    </row>
    <row r="85" spans="1:3">
      <c r="A85" s="13" t="s">
        <v>495</v>
      </c>
      <c r="B85" s="13">
        <v>315.89999999999998</v>
      </c>
      <c r="C85" s="13">
        <v>50</v>
      </c>
    </row>
    <row r="86" spans="1:3">
      <c r="A86" s="13" t="s">
        <v>496</v>
      </c>
      <c r="B86" s="13">
        <v>312.5</v>
      </c>
      <c r="C86" s="13">
        <v>45</v>
      </c>
    </row>
    <row r="87" spans="1:3">
      <c r="A87" s="13" t="s">
        <v>497</v>
      </c>
      <c r="B87" s="13">
        <v>346.7</v>
      </c>
      <c r="C87" s="13">
        <v>80</v>
      </c>
    </row>
    <row r="88" spans="1:3">
      <c r="A88" s="13" t="s">
        <v>498</v>
      </c>
      <c r="B88" s="13">
        <v>257.8</v>
      </c>
      <c r="C88" s="13">
        <v>55</v>
      </c>
    </row>
    <row r="89" spans="1:3">
      <c r="A89" s="13" t="s">
        <v>499</v>
      </c>
      <c r="B89" s="13">
        <v>192.7</v>
      </c>
      <c r="C89" s="13">
        <v>50</v>
      </c>
    </row>
    <row r="90" spans="1:3">
      <c r="A90" s="13" t="s">
        <v>500</v>
      </c>
      <c r="B90" s="13">
        <v>321.8</v>
      </c>
      <c r="C90" s="13">
        <v>90</v>
      </c>
    </row>
    <row r="91" spans="1:3">
      <c r="A91" s="13" t="s">
        <v>501</v>
      </c>
      <c r="B91" s="13">
        <v>404.4</v>
      </c>
      <c r="C91" s="13">
        <v>90</v>
      </c>
    </row>
    <row r="92" spans="1:3">
      <c r="A92" s="13" t="s">
        <v>502</v>
      </c>
      <c r="B92" s="13">
        <v>337.3</v>
      </c>
      <c r="C92" s="13">
        <v>70</v>
      </c>
    </row>
    <row r="93" spans="1:3">
      <c r="A93" s="13" t="s">
        <v>503</v>
      </c>
      <c r="B93" s="13">
        <v>271.60000000000002</v>
      </c>
      <c r="C93" s="13">
        <v>70</v>
      </c>
    </row>
    <row r="94" spans="1:3">
      <c r="A94" s="13" t="s">
        <v>504</v>
      </c>
      <c r="B94" s="13">
        <v>230.4</v>
      </c>
      <c r="C94" s="13">
        <v>40</v>
      </c>
    </row>
    <row r="95" spans="1:3">
      <c r="A95" s="13" t="s">
        <v>505</v>
      </c>
      <c r="B95" s="13">
        <v>180.6</v>
      </c>
      <c r="C95" s="13">
        <v>45</v>
      </c>
    </row>
    <row r="96" spans="1:3">
      <c r="A96" s="13" t="s">
        <v>506</v>
      </c>
      <c r="B96" s="13">
        <v>267.89999999999998</v>
      </c>
      <c r="C96" s="13">
        <v>70</v>
      </c>
    </row>
    <row r="97" spans="1:3">
      <c r="A97" s="13" t="s">
        <v>507</v>
      </c>
      <c r="B97" s="13">
        <v>205.1</v>
      </c>
      <c r="C97" s="13">
        <v>70</v>
      </c>
    </row>
    <row r="98" spans="1:3">
      <c r="A98" s="13" t="s">
        <v>508</v>
      </c>
      <c r="B98" s="13">
        <v>241</v>
      </c>
      <c r="C98" s="13">
        <v>80</v>
      </c>
    </row>
    <row r="99" spans="1:3">
      <c r="A99" s="13" t="s">
        <v>509</v>
      </c>
      <c r="B99" s="13">
        <v>241.5</v>
      </c>
      <c r="C99" s="13">
        <v>80</v>
      </c>
    </row>
    <row r="100" spans="1:3">
      <c r="A100" s="13" t="s">
        <v>510</v>
      </c>
      <c r="B100" s="13">
        <v>240.5</v>
      </c>
      <c r="C100" s="13">
        <v>80</v>
      </c>
    </row>
    <row r="101" spans="1:3">
      <c r="A101" s="13" t="s">
        <v>511</v>
      </c>
      <c r="B101" s="13">
        <v>246.3</v>
      </c>
      <c r="C101" s="13">
        <v>80</v>
      </c>
    </row>
    <row r="102" spans="1:3">
      <c r="A102" s="13" t="s">
        <v>512</v>
      </c>
      <c r="B102" s="13">
        <v>265.10000000000002</v>
      </c>
      <c r="C102" s="13">
        <v>80</v>
      </c>
    </row>
    <row r="103" spans="1:3">
      <c r="A103" s="13" t="s">
        <v>513</v>
      </c>
      <c r="B103" s="13">
        <v>257.5</v>
      </c>
      <c r="C103" s="13">
        <v>80</v>
      </c>
    </row>
    <row r="104" spans="1:3">
      <c r="A104" s="13" t="s">
        <v>514</v>
      </c>
      <c r="B104" s="13">
        <v>255.6</v>
      </c>
      <c r="C104" s="13">
        <v>80</v>
      </c>
    </row>
    <row r="105" spans="1:3">
      <c r="A105" s="13" t="s">
        <v>515</v>
      </c>
      <c r="B105" s="13">
        <v>248.6</v>
      </c>
      <c r="C105" s="13">
        <v>60</v>
      </c>
    </row>
    <row r="106" spans="1:3">
      <c r="A106" s="13" t="s">
        <v>516</v>
      </c>
      <c r="B106" s="13">
        <v>231.3</v>
      </c>
      <c r="C106" s="13">
        <v>60</v>
      </c>
    </row>
    <row r="107" spans="1:3">
      <c r="A107" s="13" t="s">
        <v>517</v>
      </c>
      <c r="B107" s="13">
        <v>23.5</v>
      </c>
      <c r="C107" s="13">
        <v>65</v>
      </c>
    </row>
    <row r="108" spans="1:3">
      <c r="A108" s="13" t="s">
        <v>518</v>
      </c>
      <c r="B108" s="13">
        <v>223.2</v>
      </c>
      <c r="C108" s="13">
        <v>75</v>
      </c>
    </row>
    <row r="109" spans="1:3">
      <c r="A109" s="13" t="s">
        <v>519</v>
      </c>
      <c r="B109" s="13">
        <v>248.5</v>
      </c>
      <c r="C109" s="13">
        <v>80</v>
      </c>
    </row>
    <row r="110" spans="1:3">
      <c r="A110" s="13" t="s">
        <v>520</v>
      </c>
      <c r="B110" s="13">
        <v>267.7</v>
      </c>
      <c r="C110" s="13">
        <v>80</v>
      </c>
    </row>
    <row r="111" spans="1:3">
      <c r="A111" s="13" t="s">
        <v>521</v>
      </c>
      <c r="B111" s="13">
        <v>15.5</v>
      </c>
      <c r="C111" s="13">
        <v>60</v>
      </c>
    </row>
    <row r="112" spans="1:3">
      <c r="A112" s="13" t="s">
        <v>522</v>
      </c>
      <c r="B112" s="13">
        <v>125.1</v>
      </c>
      <c r="C112" s="13">
        <v>65</v>
      </c>
    </row>
    <row r="113" spans="1:3">
      <c r="A113" s="13" t="s">
        <v>523</v>
      </c>
      <c r="B113" s="13">
        <v>4</v>
      </c>
      <c r="C113" s="13">
        <v>100</v>
      </c>
    </row>
    <row r="114" spans="1:3">
      <c r="A114" s="13" t="s">
        <v>524</v>
      </c>
      <c r="B114" s="13">
        <v>4</v>
      </c>
      <c r="C114" s="13">
        <v>100</v>
      </c>
    </row>
    <row r="115" spans="1:3">
      <c r="A115" s="13" t="s">
        <v>525</v>
      </c>
      <c r="B115" s="13">
        <v>4</v>
      </c>
      <c r="C115" s="13">
        <v>85</v>
      </c>
    </row>
    <row r="116" spans="1:3">
      <c r="A116" s="13" t="s">
        <v>526</v>
      </c>
      <c r="B116" s="13">
        <v>4</v>
      </c>
      <c r="C116" s="13">
        <v>85</v>
      </c>
    </row>
    <row r="117" spans="1:3">
      <c r="A117" s="13" t="s">
        <v>527</v>
      </c>
      <c r="B117" s="13">
        <v>4</v>
      </c>
      <c r="C117" s="13">
        <v>85</v>
      </c>
    </row>
    <row r="118" spans="1:3">
      <c r="A118" s="13" t="s">
        <v>528</v>
      </c>
      <c r="B118" s="13">
        <v>4</v>
      </c>
      <c r="C118" s="13">
        <v>85</v>
      </c>
    </row>
    <row r="119" spans="1:3">
      <c r="A119" s="13" t="s">
        <v>529</v>
      </c>
      <c r="B119" s="13">
        <v>4</v>
      </c>
      <c r="C119" s="13">
        <v>85</v>
      </c>
    </row>
    <row r="120" spans="1:3">
      <c r="A120" s="13" t="s">
        <v>530</v>
      </c>
      <c r="B120" s="13">
        <v>4</v>
      </c>
      <c r="C120" s="13">
        <v>85</v>
      </c>
    </row>
    <row r="121" spans="1:3">
      <c r="A121" s="13" t="s">
        <v>531</v>
      </c>
      <c r="B121" s="13">
        <v>30</v>
      </c>
      <c r="C121" s="13">
        <v>40</v>
      </c>
    </row>
    <row r="122" spans="1:3">
      <c r="A122" s="13" t="s">
        <v>532</v>
      </c>
      <c r="B122" s="13">
        <v>240</v>
      </c>
      <c r="C122" s="13">
        <v>40</v>
      </c>
    </row>
    <row r="123" spans="1:3">
      <c r="A123" s="13" t="s">
        <v>533</v>
      </c>
      <c r="B123" s="13">
        <v>341.6</v>
      </c>
      <c r="C123" s="13">
        <v>60</v>
      </c>
    </row>
    <row r="124" spans="1:3">
      <c r="A124" s="13" t="s">
        <v>534</v>
      </c>
      <c r="B124" s="13">
        <v>356.9</v>
      </c>
      <c r="C124" s="13">
        <v>60</v>
      </c>
    </row>
    <row r="125" spans="1:3">
      <c r="A125" s="13" t="s">
        <v>535</v>
      </c>
      <c r="B125" s="13">
        <v>355.7</v>
      </c>
      <c r="C125" s="13">
        <v>60</v>
      </c>
    </row>
    <row r="126" spans="1:3">
      <c r="A126" s="13" t="s">
        <v>536</v>
      </c>
      <c r="B126" s="13">
        <v>381.6</v>
      </c>
      <c r="C126" s="13">
        <v>60</v>
      </c>
    </row>
    <row r="127" spans="1:3">
      <c r="A127" s="13" t="s">
        <v>537</v>
      </c>
      <c r="B127" s="13">
        <v>319.60000000000002</v>
      </c>
      <c r="C127" s="13">
        <v>60</v>
      </c>
    </row>
    <row r="128" spans="1:3">
      <c r="A128" s="13" t="s">
        <v>538</v>
      </c>
      <c r="B128" s="13">
        <v>162.80000000000001</v>
      </c>
      <c r="C128" s="13">
        <v>45</v>
      </c>
    </row>
    <row r="129" spans="1:3">
      <c r="A129" s="13" t="s">
        <v>539</v>
      </c>
      <c r="B129" s="13">
        <v>354.3</v>
      </c>
      <c r="C129" s="13">
        <v>60</v>
      </c>
    </row>
    <row r="130" spans="1:3">
      <c r="A130" s="13" t="s">
        <v>540</v>
      </c>
      <c r="B130" s="13">
        <v>233.6</v>
      </c>
      <c r="C130" s="13">
        <v>65</v>
      </c>
    </row>
    <row r="131" spans="1:3">
      <c r="A131" s="13" t="s">
        <v>541</v>
      </c>
      <c r="B131" s="13">
        <v>165.2</v>
      </c>
      <c r="C131" s="13">
        <v>45</v>
      </c>
    </row>
    <row r="132" spans="1:3">
      <c r="A132" s="13" t="s">
        <v>542</v>
      </c>
      <c r="B132" s="13">
        <v>356.7</v>
      </c>
      <c r="C132" s="13">
        <v>60</v>
      </c>
    </row>
    <row r="133" spans="1:3">
      <c r="A133" s="13" t="s">
        <v>543</v>
      </c>
      <c r="B133" s="13">
        <v>236.3</v>
      </c>
      <c r="C133" s="13">
        <v>65</v>
      </c>
    </row>
    <row r="134" spans="1:3">
      <c r="A134" s="13" t="s">
        <v>544</v>
      </c>
      <c r="B134" s="13">
        <v>164.2</v>
      </c>
      <c r="C134" s="13">
        <v>45</v>
      </c>
    </row>
    <row r="135" spans="1:3">
      <c r="A135" s="13" t="s">
        <v>545</v>
      </c>
      <c r="B135" s="13">
        <v>355.7</v>
      </c>
      <c r="C135" s="13">
        <v>60</v>
      </c>
    </row>
    <row r="136" spans="1:3">
      <c r="A136" s="13" t="s">
        <v>546</v>
      </c>
      <c r="B136" s="13">
        <v>235.6</v>
      </c>
      <c r="C136" s="13">
        <v>65</v>
      </c>
    </row>
    <row r="137" spans="1:3">
      <c r="A137" s="13" t="s">
        <v>547</v>
      </c>
      <c r="B137" s="13">
        <v>343.3</v>
      </c>
      <c r="C137" s="13">
        <v>55</v>
      </c>
    </row>
    <row r="138" spans="1:3">
      <c r="A138" s="13" t="s">
        <v>548</v>
      </c>
      <c r="B138" s="13">
        <v>482.9</v>
      </c>
      <c r="C138" s="13">
        <v>70</v>
      </c>
    </row>
    <row r="139" spans="1:3">
      <c r="A139" s="13" t="s">
        <v>549</v>
      </c>
      <c r="B139" s="13">
        <v>211.4</v>
      </c>
      <c r="C139" s="13">
        <v>55</v>
      </c>
    </row>
    <row r="140" spans="1:3">
      <c r="A140" s="13" t="s">
        <v>550</v>
      </c>
      <c r="B140" s="13">
        <v>175.9</v>
      </c>
      <c r="C140" s="13">
        <v>55</v>
      </c>
    </row>
    <row r="141" spans="1:3">
      <c r="A141" s="13" t="s">
        <v>551</v>
      </c>
      <c r="B141" s="13">
        <v>193.4</v>
      </c>
      <c r="C141" s="13">
        <v>55</v>
      </c>
    </row>
    <row r="142" spans="1:3">
      <c r="A142" s="13" t="s">
        <v>552</v>
      </c>
      <c r="B142" s="13">
        <v>97.9</v>
      </c>
      <c r="C142" s="13">
        <v>65</v>
      </c>
    </row>
    <row r="143" spans="1:3">
      <c r="A143" s="13" t="s">
        <v>553</v>
      </c>
      <c r="B143" s="13">
        <v>142.69999999999999</v>
      </c>
      <c r="C143" s="13">
        <v>75</v>
      </c>
    </row>
    <row r="144" spans="1:3">
      <c r="A144" s="13" t="s">
        <v>554</v>
      </c>
      <c r="B144" s="13">
        <v>218.6</v>
      </c>
      <c r="C144" s="13">
        <v>65</v>
      </c>
    </row>
    <row r="145" spans="1:3">
      <c r="A145" s="13" t="s">
        <v>555</v>
      </c>
      <c r="B145" s="13">
        <v>201.4</v>
      </c>
      <c r="C145" s="13">
        <v>40</v>
      </c>
    </row>
    <row r="146" spans="1:3">
      <c r="A146" s="13" t="s">
        <v>556</v>
      </c>
      <c r="B146" s="13">
        <v>171.8</v>
      </c>
      <c r="C146" s="13">
        <v>70</v>
      </c>
    </row>
    <row r="147" spans="1:3">
      <c r="A147" s="13" t="s">
        <v>557</v>
      </c>
      <c r="B147" s="13">
        <v>268.10000000000002</v>
      </c>
      <c r="C147" s="13">
        <v>80</v>
      </c>
    </row>
    <row r="148" spans="1:3">
      <c r="A148" s="13" t="s">
        <v>558</v>
      </c>
      <c r="B148" s="13">
        <v>188.6</v>
      </c>
      <c r="C148" s="13">
        <v>65</v>
      </c>
    </row>
    <row r="149" spans="1:3">
      <c r="A149" s="13" t="s">
        <v>559</v>
      </c>
      <c r="B149" s="13">
        <v>197.7</v>
      </c>
      <c r="C149" s="13">
        <v>60</v>
      </c>
    </row>
    <row r="150" spans="1:3">
      <c r="A150" s="13" t="s">
        <v>560</v>
      </c>
      <c r="B150" s="13">
        <v>120</v>
      </c>
      <c r="C150" s="13">
        <v>40</v>
      </c>
    </row>
    <row r="151" spans="1:3">
      <c r="A151" s="13" t="s">
        <v>561</v>
      </c>
      <c r="B151" s="13">
        <v>223.5</v>
      </c>
      <c r="C151" s="13">
        <v>55</v>
      </c>
    </row>
    <row r="152" spans="1:3">
      <c r="A152" s="13" t="s">
        <v>562</v>
      </c>
      <c r="B152" s="13">
        <v>176.2</v>
      </c>
      <c r="C152" s="13">
        <v>60</v>
      </c>
    </row>
    <row r="153" spans="1:3">
      <c r="A153" s="13" t="s">
        <v>563</v>
      </c>
      <c r="B153" s="13">
        <v>232.2</v>
      </c>
      <c r="C153" s="13">
        <v>55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3D547-E599-43A5-922A-3654FEB1CB21}">
  <sheetPr codeName="工作表6"/>
  <dimension ref="A1:C82"/>
  <sheetViews>
    <sheetView workbookViewId="0">
      <selection activeCell="E15" sqref="E15"/>
    </sheetView>
  </sheetViews>
  <sheetFormatPr defaultColWidth="8.86328125" defaultRowHeight="16.149999999999999"/>
  <cols>
    <col min="1" max="1" width="28.796875" style="24" customWidth="1"/>
    <col min="2" max="2" width="15.33203125" style="24" customWidth="1"/>
    <col min="3" max="3" width="8.86328125" style="24"/>
    <col min="4" max="4" width="17.86328125" style="24" customWidth="1"/>
    <col min="5" max="16384" width="8.86328125" style="24"/>
  </cols>
  <sheetData>
    <row r="1" spans="1:3" ht="15.6" customHeight="1">
      <c r="A1" s="4" t="s">
        <v>565</v>
      </c>
    </row>
    <row r="2" spans="1:3">
      <c r="A2" s="25" t="s">
        <v>6</v>
      </c>
      <c r="B2" s="25" t="s">
        <v>566</v>
      </c>
      <c r="C2" s="25" t="s">
        <v>70</v>
      </c>
    </row>
    <row r="3" spans="1:3">
      <c r="A3" s="24" t="s">
        <v>567</v>
      </c>
      <c r="B3" s="24">
        <v>249</v>
      </c>
      <c r="C3" s="24">
        <v>56</v>
      </c>
    </row>
    <row r="4" spans="1:3">
      <c r="A4" s="24" t="s">
        <v>568</v>
      </c>
      <c r="B4" s="24">
        <v>216</v>
      </c>
      <c r="C4" s="24">
        <v>75</v>
      </c>
    </row>
    <row r="5" spans="1:3">
      <c r="A5" s="24" t="s">
        <v>569</v>
      </c>
      <c r="B5" s="24">
        <v>334</v>
      </c>
      <c r="C5" s="24">
        <v>40</v>
      </c>
    </row>
    <row r="6" spans="1:3">
      <c r="A6" s="24" t="s">
        <v>570</v>
      </c>
      <c r="B6" s="24">
        <v>427</v>
      </c>
      <c r="C6" s="24">
        <v>65</v>
      </c>
    </row>
    <row r="7" spans="1:3">
      <c r="A7" s="24" t="s">
        <v>571</v>
      </c>
      <c r="B7" s="24">
        <v>215</v>
      </c>
      <c r="C7" s="24">
        <v>75</v>
      </c>
    </row>
    <row r="8" spans="1:3">
      <c r="A8" s="24" t="s">
        <v>572</v>
      </c>
      <c r="B8" s="24">
        <v>297</v>
      </c>
      <c r="C8" s="24">
        <v>35</v>
      </c>
    </row>
    <row r="9" spans="1:3">
      <c r="A9" s="24" t="s">
        <v>573</v>
      </c>
      <c r="B9" s="24">
        <v>212</v>
      </c>
      <c r="C9" s="24">
        <v>65</v>
      </c>
    </row>
    <row r="10" spans="1:3">
      <c r="A10" s="24" t="s">
        <v>574</v>
      </c>
      <c r="B10" s="24">
        <v>130</v>
      </c>
      <c r="C10" s="24">
        <v>45</v>
      </c>
    </row>
    <row r="11" spans="1:3">
      <c r="A11" s="24" t="s">
        <v>575</v>
      </c>
      <c r="B11" s="24">
        <v>429</v>
      </c>
      <c r="C11" s="24">
        <v>65</v>
      </c>
    </row>
    <row r="12" spans="1:3">
      <c r="A12" s="24" t="s">
        <v>576</v>
      </c>
      <c r="B12" s="24">
        <v>274</v>
      </c>
      <c r="C12" s="24">
        <v>120</v>
      </c>
    </row>
    <row r="13" spans="1:3">
      <c r="A13" s="24" t="s">
        <v>577</v>
      </c>
      <c r="B13" s="24">
        <v>155</v>
      </c>
      <c r="C13" s="24">
        <v>65</v>
      </c>
    </row>
    <row r="14" spans="1:3">
      <c r="A14" s="24" t="s">
        <v>578</v>
      </c>
      <c r="B14" s="24">
        <v>324</v>
      </c>
      <c r="C14" s="24">
        <v>120</v>
      </c>
    </row>
    <row r="15" spans="1:3">
      <c r="A15" s="24" t="s">
        <v>579</v>
      </c>
      <c r="B15" s="24">
        <v>373</v>
      </c>
      <c r="C15" s="24">
        <v>160</v>
      </c>
    </row>
    <row r="16" spans="1:3">
      <c r="A16" s="24" t="s">
        <v>580</v>
      </c>
      <c r="B16" s="24">
        <v>404</v>
      </c>
      <c r="C16" s="24">
        <v>140</v>
      </c>
    </row>
    <row r="17" spans="1:3">
      <c r="A17" s="24" t="s">
        <v>581</v>
      </c>
      <c r="B17" s="24">
        <v>189</v>
      </c>
      <c r="C17" s="24">
        <v>90</v>
      </c>
    </row>
    <row r="18" spans="1:3">
      <c r="A18" s="24" t="s">
        <v>582</v>
      </c>
      <c r="B18" s="24">
        <v>212</v>
      </c>
      <c r="C18" s="24">
        <v>120</v>
      </c>
    </row>
    <row r="19" spans="1:3">
      <c r="A19" s="24" t="s">
        <v>583</v>
      </c>
      <c r="B19" s="24">
        <v>295</v>
      </c>
      <c r="C19" s="24">
        <v>150</v>
      </c>
    </row>
    <row r="20" spans="1:3">
      <c r="A20" s="24" t="s">
        <v>584</v>
      </c>
      <c r="B20" s="24">
        <v>271</v>
      </c>
      <c r="C20" s="24">
        <v>120</v>
      </c>
    </row>
    <row r="21" spans="1:3">
      <c r="A21" s="24" t="s">
        <v>585</v>
      </c>
      <c r="B21" s="24">
        <v>195</v>
      </c>
      <c r="C21" s="24">
        <v>90</v>
      </c>
    </row>
    <row r="22" spans="1:3">
      <c r="A22" s="24" t="s">
        <v>586</v>
      </c>
      <c r="B22" s="24">
        <v>327</v>
      </c>
      <c r="C22" s="24">
        <v>100</v>
      </c>
    </row>
    <row r="23" spans="1:3">
      <c r="A23" s="24" t="s">
        <v>587</v>
      </c>
      <c r="B23" s="24">
        <v>403</v>
      </c>
      <c r="C23" s="24">
        <v>90</v>
      </c>
    </row>
    <row r="24" spans="1:3">
      <c r="A24" s="24" t="s">
        <v>588</v>
      </c>
      <c r="B24" s="24">
        <v>439</v>
      </c>
      <c r="C24" s="24">
        <v>120</v>
      </c>
    </row>
    <row r="25" spans="1:3">
      <c r="A25" s="24" t="s">
        <v>589</v>
      </c>
      <c r="B25" s="24">
        <v>259</v>
      </c>
      <c r="C25" s="24">
        <v>70</v>
      </c>
    </row>
    <row r="26" spans="1:3">
      <c r="A26" s="24" t="s">
        <v>590</v>
      </c>
      <c r="B26" s="24">
        <v>364</v>
      </c>
      <c r="C26" s="24">
        <v>120</v>
      </c>
    </row>
    <row r="27" spans="1:3">
      <c r="A27" s="24" t="s">
        <v>591</v>
      </c>
      <c r="B27" s="24">
        <v>359</v>
      </c>
      <c r="C27" s="24">
        <v>130</v>
      </c>
    </row>
    <row r="28" spans="1:3">
      <c r="A28" s="24" t="s">
        <v>592</v>
      </c>
      <c r="B28" s="24">
        <v>525</v>
      </c>
      <c r="C28" s="24">
        <v>170</v>
      </c>
    </row>
    <row r="29" spans="1:3">
      <c r="A29" s="24" t="s">
        <v>593</v>
      </c>
      <c r="B29" s="24">
        <v>533</v>
      </c>
      <c r="C29" s="24">
        <v>160</v>
      </c>
    </row>
    <row r="30" spans="1:3">
      <c r="A30" s="24" t="s">
        <v>594</v>
      </c>
      <c r="B30" s="24">
        <v>484</v>
      </c>
      <c r="C30" s="24">
        <v>160</v>
      </c>
    </row>
    <row r="31" spans="1:3">
      <c r="A31" s="24" t="s">
        <v>595</v>
      </c>
      <c r="B31" s="24">
        <v>295</v>
      </c>
      <c r="C31" s="24">
        <v>135</v>
      </c>
    </row>
    <row r="32" spans="1:3">
      <c r="A32" s="24" t="s">
        <v>100</v>
      </c>
      <c r="B32" s="24">
        <v>22</v>
      </c>
      <c r="C32" s="24">
        <v>110</v>
      </c>
    </row>
    <row r="33" spans="1:3">
      <c r="A33" s="24" t="s">
        <v>124</v>
      </c>
      <c r="B33" s="24">
        <v>344</v>
      </c>
      <c r="C33" s="24">
        <v>155</v>
      </c>
    </row>
    <row r="34" spans="1:3">
      <c r="A34" s="24" t="s">
        <v>596</v>
      </c>
      <c r="B34" s="24">
        <v>344</v>
      </c>
      <c r="C34" s="24">
        <v>160</v>
      </c>
    </row>
    <row r="35" spans="1:3">
      <c r="A35" s="24" t="s">
        <v>103</v>
      </c>
      <c r="B35" s="24">
        <v>8</v>
      </c>
      <c r="C35" s="24">
        <v>80</v>
      </c>
    </row>
    <row r="36" spans="1:3">
      <c r="A36" s="24" t="s">
        <v>121</v>
      </c>
      <c r="B36" s="24">
        <v>190</v>
      </c>
      <c r="C36" s="24">
        <v>135</v>
      </c>
    </row>
    <row r="37" spans="1:3">
      <c r="A37" s="24" t="s">
        <v>118</v>
      </c>
      <c r="B37" s="24">
        <v>710</v>
      </c>
      <c r="C37" s="24">
        <v>165</v>
      </c>
    </row>
    <row r="38" spans="1:3">
      <c r="A38" s="24" t="s">
        <v>597</v>
      </c>
      <c r="B38" s="24">
        <v>297</v>
      </c>
      <c r="C38" s="24">
        <v>160</v>
      </c>
    </row>
    <row r="39" spans="1:3">
      <c r="A39" s="24" t="s">
        <v>598</v>
      </c>
      <c r="B39" s="24">
        <v>274</v>
      </c>
      <c r="C39" s="24">
        <v>150</v>
      </c>
    </row>
    <row r="40" spans="1:3">
      <c r="A40" s="24" t="s">
        <v>599</v>
      </c>
      <c r="B40" s="24">
        <v>383</v>
      </c>
      <c r="C40" s="24">
        <v>155</v>
      </c>
    </row>
    <row r="41" spans="1:3">
      <c r="A41" s="24" t="s">
        <v>600</v>
      </c>
      <c r="B41" s="24">
        <v>171</v>
      </c>
      <c r="C41" s="24">
        <v>95</v>
      </c>
    </row>
    <row r="42" spans="1:3">
      <c r="A42" s="24" t="s">
        <v>601</v>
      </c>
      <c r="B42" s="24">
        <v>23</v>
      </c>
      <c r="C42" s="24">
        <v>95</v>
      </c>
    </row>
    <row r="43" spans="1:3">
      <c r="A43" s="24" t="s">
        <v>602</v>
      </c>
      <c r="B43" s="24">
        <v>279</v>
      </c>
      <c r="C43" s="24">
        <v>145</v>
      </c>
    </row>
    <row r="44" spans="1:3">
      <c r="A44" s="24" t="s">
        <v>603</v>
      </c>
      <c r="B44" s="24">
        <v>509</v>
      </c>
      <c r="C44" s="24">
        <v>145</v>
      </c>
    </row>
    <row r="45" spans="1:3">
      <c r="A45" s="24" t="s">
        <v>604</v>
      </c>
      <c r="B45" s="24">
        <v>443</v>
      </c>
      <c r="C45" s="24">
        <v>150</v>
      </c>
    </row>
    <row r="46" spans="1:3">
      <c r="A46" s="24" t="s">
        <v>605</v>
      </c>
      <c r="B46" s="24">
        <v>296</v>
      </c>
      <c r="C46" s="24">
        <v>145</v>
      </c>
    </row>
    <row r="47" spans="1:3">
      <c r="A47" s="24" t="s">
        <v>606</v>
      </c>
      <c r="B47" s="24">
        <v>279</v>
      </c>
      <c r="C47" s="24">
        <v>145</v>
      </c>
    </row>
    <row r="48" spans="1:3">
      <c r="A48" s="24" t="s">
        <v>607</v>
      </c>
      <c r="B48" s="24">
        <v>207</v>
      </c>
      <c r="C48" s="24">
        <v>175</v>
      </c>
    </row>
    <row r="49" spans="1:3">
      <c r="A49" s="24" t="s">
        <v>608</v>
      </c>
      <c r="B49" s="24">
        <v>194</v>
      </c>
      <c r="C49" s="24">
        <v>150</v>
      </c>
    </row>
    <row r="50" spans="1:3">
      <c r="A50" s="24" t="s">
        <v>609</v>
      </c>
      <c r="B50" s="24">
        <v>307</v>
      </c>
      <c r="C50" s="24">
        <v>140</v>
      </c>
    </row>
    <row r="51" spans="1:3">
      <c r="A51" s="24" t="s">
        <v>610</v>
      </c>
      <c r="B51" s="24">
        <v>2.8</v>
      </c>
      <c r="C51" s="24">
        <v>110</v>
      </c>
    </row>
    <row r="52" spans="1:3">
      <c r="A52" s="24" t="s">
        <v>611</v>
      </c>
      <c r="B52" s="24">
        <v>5</v>
      </c>
      <c r="C52" s="24">
        <v>110</v>
      </c>
    </row>
    <row r="53" spans="1:3">
      <c r="A53" s="24" t="s">
        <v>612</v>
      </c>
      <c r="B53" s="24">
        <v>281</v>
      </c>
      <c r="C53" s="24">
        <v>140</v>
      </c>
    </row>
    <row r="54" spans="1:3">
      <c r="A54" s="24" t="s">
        <v>613</v>
      </c>
      <c r="B54" s="24">
        <v>6</v>
      </c>
      <c r="C54" s="24">
        <v>180</v>
      </c>
    </row>
    <row r="55" spans="1:3">
      <c r="A55" s="24" t="s">
        <v>614</v>
      </c>
      <c r="B55" s="24">
        <v>83</v>
      </c>
      <c r="C55" s="24">
        <v>105</v>
      </c>
    </row>
    <row r="56" spans="1:3">
      <c r="A56" s="24" t="s">
        <v>615</v>
      </c>
      <c r="B56" s="24">
        <v>162</v>
      </c>
      <c r="C56" s="24">
        <v>120</v>
      </c>
    </row>
    <row r="57" spans="1:3">
      <c r="A57" s="24" t="s">
        <v>616</v>
      </c>
      <c r="B57" s="24">
        <v>163</v>
      </c>
      <c r="C57" s="24">
        <v>120</v>
      </c>
    </row>
    <row r="58" spans="1:3">
      <c r="A58" s="24" t="s">
        <v>617</v>
      </c>
      <c r="B58" s="24">
        <v>496</v>
      </c>
      <c r="C58" s="24">
        <v>140</v>
      </c>
    </row>
    <row r="59" spans="1:3">
      <c r="A59" s="24" t="s">
        <v>618</v>
      </c>
      <c r="B59" s="24">
        <v>289</v>
      </c>
      <c r="C59" s="24">
        <v>125</v>
      </c>
    </row>
    <row r="60" spans="1:3">
      <c r="A60" s="24" t="s">
        <v>619</v>
      </c>
      <c r="B60" s="24">
        <v>587</v>
      </c>
      <c r="C60" s="24">
        <v>150</v>
      </c>
    </row>
    <row r="61" spans="1:3">
      <c r="A61" s="24" t="s">
        <v>620</v>
      </c>
      <c r="B61" s="24">
        <v>562</v>
      </c>
      <c r="C61" s="24">
        <v>165</v>
      </c>
    </row>
    <row r="62" spans="1:3">
      <c r="A62" s="24" t="s">
        <v>621</v>
      </c>
      <c r="B62" s="24">
        <v>656</v>
      </c>
      <c r="C62" s="24">
        <v>165</v>
      </c>
    </row>
    <row r="63" spans="1:3">
      <c r="A63" s="24" t="s">
        <v>622</v>
      </c>
      <c r="B63" s="24">
        <v>596</v>
      </c>
      <c r="C63" s="24">
        <v>170</v>
      </c>
    </row>
    <row r="64" spans="1:3">
      <c r="A64" s="24" t="s">
        <v>623</v>
      </c>
      <c r="B64" s="24">
        <v>494</v>
      </c>
      <c r="C64" s="24">
        <v>140</v>
      </c>
    </row>
    <row r="65" spans="1:3">
      <c r="A65" s="24" t="s">
        <v>624</v>
      </c>
      <c r="B65" s="24">
        <v>559</v>
      </c>
      <c r="C65" s="24">
        <v>185</v>
      </c>
    </row>
    <row r="66" spans="1:3">
      <c r="A66" s="24" t="s">
        <v>625</v>
      </c>
      <c r="B66" s="24">
        <v>480</v>
      </c>
      <c r="C66" s="24">
        <v>115</v>
      </c>
    </row>
    <row r="67" spans="1:3">
      <c r="A67" s="24" t="s">
        <v>626</v>
      </c>
      <c r="B67" s="24">
        <v>239</v>
      </c>
      <c r="C67" s="24">
        <v>135</v>
      </c>
    </row>
    <row r="68" spans="1:3">
      <c r="A68" s="24" t="s">
        <v>627</v>
      </c>
      <c r="B68" s="24">
        <v>201</v>
      </c>
      <c r="C68" s="24">
        <v>100</v>
      </c>
    </row>
    <row r="69" spans="1:3">
      <c r="A69" s="24" t="s">
        <v>628</v>
      </c>
      <c r="B69" s="24">
        <v>328</v>
      </c>
      <c r="C69" s="24">
        <v>110</v>
      </c>
    </row>
    <row r="70" spans="1:3">
      <c r="A70" s="24" t="s">
        <v>629</v>
      </c>
      <c r="B70" s="24">
        <v>192</v>
      </c>
      <c r="C70" s="24">
        <v>165</v>
      </c>
    </row>
    <row r="71" spans="1:3">
      <c r="A71" s="24" t="s">
        <v>630</v>
      </c>
      <c r="B71" s="24">
        <v>32</v>
      </c>
      <c r="C71" s="24">
        <v>140</v>
      </c>
    </row>
    <row r="72" spans="1:3">
      <c r="A72" s="24" t="s">
        <v>631</v>
      </c>
      <c r="B72" s="24">
        <v>218</v>
      </c>
      <c r="C72" s="24">
        <v>165</v>
      </c>
    </row>
    <row r="73" spans="1:3">
      <c r="A73" s="24" t="s">
        <v>632</v>
      </c>
      <c r="B73" s="24">
        <v>202</v>
      </c>
      <c r="C73" s="24">
        <v>155</v>
      </c>
    </row>
    <row r="74" spans="1:3">
      <c r="A74" s="24" t="s">
        <v>633</v>
      </c>
      <c r="B74" s="24">
        <v>453</v>
      </c>
      <c r="C74" s="24">
        <v>155</v>
      </c>
    </row>
    <row r="75" spans="1:3">
      <c r="A75" s="24" t="s">
        <v>634</v>
      </c>
      <c r="B75" s="24">
        <v>220</v>
      </c>
      <c r="C75" s="24">
        <v>155</v>
      </c>
    </row>
    <row r="76" spans="1:3">
      <c r="A76" s="24" t="s">
        <v>635</v>
      </c>
      <c r="B76" s="24">
        <v>112</v>
      </c>
      <c r="C76" s="24">
        <v>195</v>
      </c>
    </row>
    <row r="77" spans="1:3">
      <c r="A77" s="24" t="s">
        <v>636</v>
      </c>
      <c r="B77" s="24">
        <v>156</v>
      </c>
      <c r="C77" s="24">
        <v>185</v>
      </c>
    </row>
    <row r="78" spans="1:3">
      <c r="A78" s="24" t="s">
        <v>637</v>
      </c>
      <c r="B78" s="24">
        <v>174</v>
      </c>
      <c r="C78" s="24">
        <v>195</v>
      </c>
    </row>
    <row r="79" spans="1:3">
      <c r="A79" s="24" t="s">
        <v>638</v>
      </c>
      <c r="B79" s="24">
        <v>21</v>
      </c>
      <c r="C79" s="24">
        <v>170</v>
      </c>
    </row>
    <row r="80" spans="1:3">
      <c r="A80" s="24" t="s">
        <v>639</v>
      </c>
      <c r="B80" s="24">
        <v>82</v>
      </c>
      <c r="C80" s="24">
        <v>170</v>
      </c>
    </row>
    <row r="81" spans="1:3">
      <c r="A81" s="24" t="s">
        <v>640</v>
      </c>
      <c r="B81" s="24">
        <v>727</v>
      </c>
      <c r="C81" s="24">
        <v>150</v>
      </c>
    </row>
    <row r="82" spans="1:3">
      <c r="A82" s="24" t="s">
        <v>641</v>
      </c>
      <c r="B82" s="24">
        <v>604</v>
      </c>
      <c r="C82" s="24">
        <v>150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1EB14-0641-448F-A8FF-9B959CB0DD76}">
  <sheetPr codeName="工作表7"/>
  <dimension ref="A1:C113"/>
  <sheetViews>
    <sheetView topLeftCell="A104" workbookViewId="0">
      <selection activeCell="E127" sqref="E127"/>
    </sheetView>
  </sheetViews>
  <sheetFormatPr defaultColWidth="8.86328125" defaultRowHeight="16.149999999999999"/>
  <cols>
    <col min="1" max="1" width="25.796875" style="3" bestFit="1" customWidth="1"/>
    <col min="2" max="16384" width="8.86328125" style="3"/>
  </cols>
  <sheetData>
    <row r="1" spans="1:3">
      <c r="A1" s="4" t="s">
        <v>61</v>
      </c>
    </row>
    <row r="2" spans="1:3">
      <c r="A2" s="26" t="s">
        <v>1</v>
      </c>
      <c r="B2" s="26" t="s">
        <v>96</v>
      </c>
      <c r="C2" s="26" t="s">
        <v>643</v>
      </c>
    </row>
    <row r="3" spans="1:3">
      <c r="A3" s="3" t="s">
        <v>664</v>
      </c>
      <c r="B3" s="3">
        <v>361.8</v>
      </c>
      <c r="C3" s="3">
        <v>70</v>
      </c>
    </row>
    <row r="4" spans="1:3">
      <c r="A4" s="3" t="s">
        <v>665</v>
      </c>
      <c r="B4" s="3">
        <v>471.5</v>
      </c>
      <c r="C4" s="3">
        <v>65</v>
      </c>
    </row>
    <row r="5" spans="1:3">
      <c r="A5" s="3" t="s">
        <v>666</v>
      </c>
      <c r="B5" s="3">
        <v>410.7</v>
      </c>
      <c r="C5" s="3">
        <v>45</v>
      </c>
    </row>
    <row r="6" spans="1:3">
      <c r="A6" s="3" t="s">
        <v>667</v>
      </c>
      <c r="B6" s="3">
        <v>309.60000000000002</v>
      </c>
      <c r="C6" s="3">
        <v>45</v>
      </c>
    </row>
    <row r="7" spans="1:3">
      <c r="A7" s="3" t="s">
        <v>668</v>
      </c>
      <c r="B7" s="3">
        <v>287.89999999999998</v>
      </c>
      <c r="C7" s="3">
        <v>45</v>
      </c>
    </row>
    <row r="8" spans="1:3">
      <c r="A8" s="3" t="s">
        <v>669</v>
      </c>
      <c r="B8" s="3">
        <v>336.2</v>
      </c>
      <c r="C8" s="3">
        <v>65</v>
      </c>
    </row>
    <row r="9" spans="1:3">
      <c r="A9" s="3" t="s">
        <v>670</v>
      </c>
      <c r="B9" s="3">
        <v>423</v>
      </c>
      <c r="C9" s="3">
        <v>40</v>
      </c>
    </row>
    <row r="10" spans="1:3">
      <c r="A10" s="3" t="s">
        <v>671</v>
      </c>
      <c r="B10" s="3">
        <v>303</v>
      </c>
      <c r="C10" s="3">
        <v>40</v>
      </c>
    </row>
    <row r="11" spans="1:3">
      <c r="A11" s="3" t="s">
        <v>672</v>
      </c>
      <c r="B11" s="3">
        <v>355</v>
      </c>
      <c r="C11" s="3">
        <v>40</v>
      </c>
    </row>
    <row r="12" spans="1:3">
      <c r="A12" s="3" t="s">
        <v>673</v>
      </c>
      <c r="B12" s="3">
        <v>331.6</v>
      </c>
      <c r="C12" s="3">
        <v>50</v>
      </c>
    </row>
    <row r="13" spans="1:3">
      <c r="A13" s="3" t="s">
        <v>716</v>
      </c>
      <c r="B13" s="3">
        <v>372</v>
      </c>
      <c r="C13" s="3">
        <v>55</v>
      </c>
    </row>
    <row r="14" spans="1:3">
      <c r="A14" s="3" t="s">
        <v>717</v>
      </c>
      <c r="B14" s="3">
        <v>338.8</v>
      </c>
      <c r="C14" s="3">
        <v>55</v>
      </c>
    </row>
    <row r="15" spans="1:3">
      <c r="A15" s="3" t="s">
        <v>718</v>
      </c>
      <c r="B15" s="3">
        <v>473.6</v>
      </c>
      <c r="C15" s="3">
        <v>55</v>
      </c>
    </row>
    <row r="16" spans="1:3">
      <c r="A16" s="26" t="s">
        <v>4</v>
      </c>
      <c r="B16" s="26" t="s">
        <v>96</v>
      </c>
      <c r="C16" s="26" t="s">
        <v>643</v>
      </c>
    </row>
    <row r="17" spans="1:3">
      <c r="A17" s="3" t="s">
        <v>61</v>
      </c>
      <c r="B17" s="3">
        <v>433.9</v>
      </c>
      <c r="C17" s="3">
        <v>70</v>
      </c>
    </row>
    <row r="18" spans="1:3">
      <c r="A18" s="3" t="s">
        <v>644</v>
      </c>
      <c r="B18" s="3">
        <v>476.9</v>
      </c>
      <c r="C18" s="3">
        <v>75</v>
      </c>
    </row>
    <row r="19" spans="1:3">
      <c r="A19" s="3" t="s">
        <v>645</v>
      </c>
      <c r="B19" s="3">
        <v>421.9</v>
      </c>
      <c r="C19" s="3">
        <v>70</v>
      </c>
    </row>
    <row r="20" spans="1:3">
      <c r="A20" s="3" t="s">
        <v>646</v>
      </c>
      <c r="B20" s="3">
        <v>478.2</v>
      </c>
      <c r="C20" s="3">
        <v>75</v>
      </c>
    </row>
    <row r="21" spans="1:3">
      <c r="A21" s="3" t="s">
        <v>647</v>
      </c>
      <c r="B21" s="3">
        <v>508</v>
      </c>
      <c r="C21" s="3">
        <v>70</v>
      </c>
    </row>
    <row r="22" spans="1:3">
      <c r="A22" s="3" t="s">
        <v>648</v>
      </c>
      <c r="B22" s="3">
        <v>383.4</v>
      </c>
      <c r="C22" s="3">
        <v>70</v>
      </c>
    </row>
    <row r="23" spans="1:3">
      <c r="A23" s="3" t="s">
        <v>649</v>
      </c>
      <c r="B23" s="3">
        <v>428.3</v>
      </c>
      <c r="C23" s="3">
        <v>75</v>
      </c>
    </row>
    <row r="24" spans="1:3">
      <c r="A24" s="3" t="s">
        <v>650</v>
      </c>
      <c r="B24" s="3">
        <v>353</v>
      </c>
      <c r="C24" s="3">
        <v>80</v>
      </c>
    </row>
    <row r="25" spans="1:3">
      <c r="A25" s="3" t="s">
        <v>651</v>
      </c>
      <c r="B25" s="3">
        <v>208</v>
      </c>
      <c r="C25" s="3">
        <v>85</v>
      </c>
    </row>
    <row r="26" spans="1:3">
      <c r="A26" s="3" t="s">
        <v>652</v>
      </c>
      <c r="B26" s="3">
        <v>280.89999999999998</v>
      </c>
      <c r="C26" s="3">
        <v>80</v>
      </c>
    </row>
    <row r="27" spans="1:3">
      <c r="A27" s="3" t="s">
        <v>653</v>
      </c>
      <c r="B27" s="3">
        <v>203.1</v>
      </c>
      <c r="C27" s="3">
        <v>120</v>
      </c>
    </row>
    <row r="28" spans="1:3">
      <c r="A28" s="3" t="s">
        <v>654</v>
      </c>
      <c r="B28" s="3">
        <v>577.5</v>
      </c>
      <c r="C28" s="3">
        <v>100</v>
      </c>
    </row>
    <row r="29" spans="1:3">
      <c r="A29" s="3" t="s">
        <v>655</v>
      </c>
      <c r="B29" s="3">
        <v>501.7</v>
      </c>
      <c r="C29" s="3">
        <v>100</v>
      </c>
    </row>
    <row r="30" spans="1:3">
      <c r="A30" s="3" t="s">
        <v>656</v>
      </c>
      <c r="B30" s="3">
        <v>444.3</v>
      </c>
      <c r="C30" s="3">
        <v>80</v>
      </c>
    </row>
    <row r="31" spans="1:3">
      <c r="A31" s="3" t="s">
        <v>657</v>
      </c>
      <c r="B31" s="3">
        <v>341.6</v>
      </c>
      <c r="C31" s="3">
        <v>75</v>
      </c>
    </row>
    <row r="32" spans="1:3">
      <c r="A32" s="3" t="s">
        <v>658</v>
      </c>
      <c r="B32" s="3">
        <v>373.5</v>
      </c>
      <c r="C32" s="3">
        <v>85</v>
      </c>
    </row>
    <row r="33" spans="1:3">
      <c r="A33" s="3" t="s">
        <v>659</v>
      </c>
      <c r="B33" s="3">
        <v>318</v>
      </c>
      <c r="C33" s="3">
        <v>80</v>
      </c>
    </row>
    <row r="34" spans="1:3">
      <c r="A34" s="3" t="s">
        <v>660</v>
      </c>
      <c r="B34" s="3">
        <v>627.29999999999995</v>
      </c>
      <c r="C34" s="3">
        <v>115</v>
      </c>
    </row>
    <row r="35" spans="1:3">
      <c r="A35" s="3" t="s">
        <v>661</v>
      </c>
      <c r="B35" s="3">
        <v>419.1</v>
      </c>
      <c r="C35" s="3">
        <v>115</v>
      </c>
    </row>
    <row r="36" spans="1:3">
      <c r="A36" s="3" t="s">
        <v>662</v>
      </c>
      <c r="B36" s="3">
        <v>278.39999999999998</v>
      </c>
      <c r="C36" s="3">
        <v>55</v>
      </c>
    </row>
    <row r="37" spans="1:3">
      <c r="A37" s="3" t="s">
        <v>663</v>
      </c>
      <c r="B37" s="3">
        <v>287.39999999999998</v>
      </c>
      <c r="C37" s="3">
        <v>70</v>
      </c>
    </row>
    <row r="38" spans="1:3">
      <c r="A38" s="26" t="s">
        <v>5</v>
      </c>
      <c r="B38" s="26" t="s">
        <v>96</v>
      </c>
      <c r="C38" s="26" t="s">
        <v>643</v>
      </c>
    </row>
    <row r="39" spans="1:3">
      <c r="A39" s="3" t="s">
        <v>61</v>
      </c>
      <c r="B39" s="3">
        <v>433.9</v>
      </c>
      <c r="C39" s="3">
        <v>70</v>
      </c>
    </row>
    <row r="40" spans="1:3">
      <c r="A40" s="3" t="s">
        <v>644</v>
      </c>
      <c r="B40" s="3">
        <v>476.9</v>
      </c>
      <c r="C40" s="3">
        <v>75</v>
      </c>
    </row>
    <row r="41" spans="1:3">
      <c r="A41" s="3" t="s">
        <v>645</v>
      </c>
      <c r="B41" s="3">
        <v>421.9</v>
      </c>
      <c r="C41" s="3">
        <v>70</v>
      </c>
    </row>
    <row r="42" spans="1:3">
      <c r="A42" s="3" t="s">
        <v>646</v>
      </c>
      <c r="B42" s="3">
        <v>478.2</v>
      </c>
      <c r="C42" s="3">
        <v>75</v>
      </c>
    </row>
    <row r="43" spans="1:3">
      <c r="A43" s="3" t="s">
        <v>647</v>
      </c>
      <c r="B43" s="3">
        <v>508</v>
      </c>
      <c r="C43" s="3">
        <v>70</v>
      </c>
    </row>
    <row r="44" spans="1:3">
      <c r="A44" s="3" t="s">
        <v>648</v>
      </c>
      <c r="B44" s="3">
        <v>383.4</v>
      </c>
      <c r="C44" s="3">
        <v>70</v>
      </c>
    </row>
    <row r="45" spans="1:3">
      <c r="A45" s="3" t="s">
        <v>649</v>
      </c>
      <c r="B45" s="3">
        <v>428.3</v>
      </c>
      <c r="C45" s="3">
        <v>75</v>
      </c>
    </row>
    <row r="46" spans="1:3">
      <c r="A46" s="3" t="s">
        <v>650</v>
      </c>
      <c r="B46" s="3">
        <v>353</v>
      </c>
      <c r="C46" s="3">
        <v>80</v>
      </c>
    </row>
    <row r="47" spans="1:3">
      <c r="A47" s="3" t="s">
        <v>651</v>
      </c>
      <c r="B47" s="3">
        <v>208</v>
      </c>
      <c r="C47" s="3">
        <v>85</v>
      </c>
    </row>
    <row r="48" spans="1:3">
      <c r="A48" s="3" t="s">
        <v>652</v>
      </c>
      <c r="B48" s="3">
        <v>280.89999999999998</v>
      </c>
      <c r="C48" s="3">
        <v>80</v>
      </c>
    </row>
    <row r="49" spans="1:3">
      <c r="A49" s="3" t="s">
        <v>653</v>
      </c>
      <c r="B49" s="3">
        <v>203.1</v>
      </c>
      <c r="C49" s="3">
        <v>120</v>
      </c>
    </row>
    <row r="50" spans="1:3">
      <c r="A50" s="3" t="s">
        <v>654</v>
      </c>
      <c r="B50" s="3">
        <v>577.5</v>
      </c>
      <c r="C50" s="3">
        <v>100</v>
      </c>
    </row>
    <row r="51" spans="1:3">
      <c r="A51" s="3" t="s">
        <v>655</v>
      </c>
      <c r="B51" s="3">
        <v>501.7</v>
      </c>
      <c r="C51" s="3">
        <v>100</v>
      </c>
    </row>
    <row r="52" spans="1:3">
      <c r="A52" s="3" t="s">
        <v>656</v>
      </c>
      <c r="B52" s="3">
        <v>444.3</v>
      </c>
      <c r="C52" s="3">
        <v>80</v>
      </c>
    </row>
    <row r="53" spans="1:3">
      <c r="A53" s="3" t="s">
        <v>657</v>
      </c>
      <c r="B53" s="3">
        <v>341.6</v>
      </c>
      <c r="C53" s="3">
        <v>75</v>
      </c>
    </row>
    <row r="54" spans="1:3">
      <c r="A54" s="3" t="s">
        <v>658</v>
      </c>
      <c r="B54" s="3">
        <v>373.5</v>
      </c>
      <c r="C54" s="3">
        <v>85</v>
      </c>
    </row>
    <row r="55" spans="1:3">
      <c r="A55" s="3" t="s">
        <v>659</v>
      </c>
      <c r="B55" s="3">
        <v>318</v>
      </c>
      <c r="C55" s="3">
        <v>80</v>
      </c>
    </row>
    <row r="56" spans="1:3">
      <c r="A56" s="3" t="s">
        <v>660</v>
      </c>
      <c r="B56" s="3">
        <v>627.29999999999995</v>
      </c>
      <c r="C56" s="3">
        <v>115</v>
      </c>
    </row>
    <row r="57" spans="1:3">
      <c r="A57" s="3" t="s">
        <v>661</v>
      </c>
      <c r="B57" s="3">
        <v>419.1</v>
      </c>
      <c r="C57" s="3">
        <v>115</v>
      </c>
    </row>
    <row r="58" spans="1:3">
      <c r="A58" s="3" t="s">
        <v>662</v>
      </c>
      <c r="B58" s="3">
        <v>278.39999999999998</v>
      </c>
      <c r="C58" s="3">
        <v>55</v>
      </c>
    </row>
    <row r="59" spans="1:3">
      <c r="A59" s="3" t="s">
        <v>663</v>
      </c>
      <c r="B59" s="3">
        <v>287.39999999999998</v>
      </c>
      <c r="C59" s="3">
        <v>70</v>
      </c>
    </row>
    <row r="60" spans="1:3">
      <c r="A60" s="26" t="s">
        <v>674</v>
      </c>
      <c r="B60" s="26" t="s">
        <v>96</v>
      </c>
      <c r="C60" s="26" t="s">
        <v>643</v>
      </c>
    </row>
    <row r="61" spans="1:3">
      <c r="A61" s="3" t="s">
        <v>675</v>
      </c>
      <c r="B61" s="3">
        <v>563.6</v>
      </c>
      <c r="C61" s="3">
        <v>85</v>
      </c>
    </row>
    <row r="62" spans="1:3">
      <c r="A62" s="3" t="s">
        <v>676</v>
      </c>
      <c r="B62" s="3">
        <v>289.7</v>
      </c>
      <c r="C62" s="3">
        <v>65</v>
      </c>
    </row>
    <row r="63" spans="1:3">
      <c r="A63" s="3" t="s">
        <v>677</v>
      </c>
      <c r="B63" s="3">
        <v>176</v>
      </c>
      <c r="C63" s="3">
        <v>35</v>
      </c>
    </row>
    <row r="64" spans="1:3">
      <c r="A64" s="3" t="s">
        <v>678</v>
      </c>
      <c r="B64" s="3">
        <v>227.2</v>
      </c>
      <c r="C64" s="3">
        <v>35</v>
      </c>
    </row>
    <row r="65" spans="1:3">
      <c r="A65" s="3" t="s">
        <v>679</v>
      </c>
      <c r="B65" s="3">
        <v>455.7</v>
      </c>
      <c r="C65" s="3">
        <v>43</v>
      </c>
    </row>
    <row r="66" spans="1:3">
      <c r="A66" s="3" t="s">
        <v>680</v>
      </c>
      <c r="B66" s="3">
        <v>357.2</v>
      </c>
      <c r="C66" s="3">
        <v>65</v>
      </c>
    </row>
    <row r="67" spans="1:3">
      <c r="A67" s="3" t="s">
        <v>681</v>
      </c>
      <c r="B67" s="3">
        <v>517.6</v>
      </c>
      <c r="C67" s="3">
        <v>65</v>
      </c>
    </row>
    <row r="68" spans="1:3">
      <c r="A68" s="3" t="s">
        <v>682</v>
      </c>
      <c r="B68" s="3">
        <v>139.30000000000001</v>
      </c>
      <c r="C68" s="3">
        <v>70</v>
      </c>
    </row>
    <row r="69" spans="1:3">
      <c r="A69" s="3" t="s">
        <v>683</v>
      </c>
      <c r="B69" s="3">
        <v>109.2</v>
      </c>
      <c r="C69" s="3">
        <v>55</v>
      </c>
    </row>
    <row r="70" spans="1:3">
      <c r="A70" s="3" t="s">
        <v>684</v>
      </c>
      <c r="B70" s="3">
        <v>152.9</v>
      </c>
      <c r="C70" s="3">
        <v>55</v>
      </c>
    </row>
    <row r="71" spans="1:3">
      <c r="A71" s="3" t="s">
        <v>685</v>
      </c>
      <c r="B71" s="3">
        <v>106.8</v>
      </c>
      <c r="C71" s="3">
        <v>55</v>
      </c>
    </row>
    <row r="72" spans="1:3">
      <c r="A72" s="3" t="s">
        <v>686</v>
      </c>
      <c r="B72" s="3">
        <v>110</v>
      </c>
      <c r="C72" s="3">
        <v>40</v>
      </c>
    </row>
    <row r="73" spans="1:3">
      <c r="A73" s="3" t="s">
        <v>687</v>
      </c>
      <c r="B73" s="3">
        <v>94.2</v>
      </c>
      <c r="C73" s="3">
        <v>40</v>
      </c>
    </row>
    <row r="74" spans="1:3">
      <c r="A74" s="3" t="s">
        <v>688</v>
      </c>
      <c r="B74" s="3">
        <v>251</v>
      </c>
      <c r="C74" s="3">
        <v>35</v>
      </c>
    </row>
    <row r="75" spans="1:3">
      <c r="A75" s="3" t="s">
        <v>689</v>
      </c>
      <c r="B75" s="3">
        <v>265</v>
      </c>
      <c r="C75" s="3">
        <v>35</v>
      </c>
    </row>
    <row r="76" spans="1:3">
      <c r="A76" s="3" t="s">
        <v>690</v>
      </c>
      <c r="B76" s="3">
        <v>201.8</v>
      </c>
      <c r="C76" s="3">
        <v>65</v>
      </c>
    </row>
    <row r="77" spans="1:3">
      <c r="A77" s="3" t="s">
        <v>691</v>
      </c>
      <c r="B77" s="3">
        <v>111</v>
      </c>
      <c r="C77" s="3">
        <v>35</v>
      </c>
    </row>
    <row r="78" spans="1:3">
      <c r="A78" s="3" t="s">
        <v>692</v>
      </c>
      <c r="B78" s="3">
        <v>154</v>
      </c>
      <c r="C78" s="3">
        <v>40</v>
      </c>
    </row>
    <row r="79" spans="1:3">
      <c r="A79" s="3" t="s">
        <v>693</v>
      </c>
      <c r="B79" s="3">
        <v>3.4</v>
      </c>
      <c r="C79" s="3">
        <v>35</v>
      </c>
    </row>
    <row r="80" spans="1:3">
      <c r="A80" s="3" t="s">
        <v>694</v>
      </c>
      <c r="B80" s="3">
        <v>4.7</v>
      </c>
      <c r="C80" s="3">
        <v>40</v>
      </c>
    </row>
    <row r="81" spans="1:3">
      <c r="A81" s="3" t="s">
        <v>695</v>
      </c>
      <c r="B81" s="3">
        <v>319.8</v>
      </c>
      <c r="C81" s="3">
        <v>75</v>
      </c>
    </row>
    <row r="82" spans="1:3">
      <c r="A82" s="3" t="s">
        <v>696</v>
      </c>
      <c r="B82" s="3">
        <v>170</v>
      </c>
      <c r="C82" s="3">
        <v>80</v>
      </c>
    </row>
    <row r="83" spans="1:3">
      <c r="A83" s="3" t="s">
        <v>697</v>
      </c>
      <c r="B83" s="3">
        <v>224.1</v>
      </c>
      <c r="C83" s="3">
        <v>65</v>
      </c>
    </row>
    <row r="84" spans="1:3">
      <c r="A84" s="3" t="s">
        <v>698</v>
      </c>
      <c r="B84" s="3">
        <v>119</v>
      </c>
      <c r="C84" s="3">
        <v>50</v>
      </c>
    </row>
    <row r="85" spans="1:3">
      <c r="A85" s="3" t="s">
        <v>699</v>
      </c>
      <c r="B85" s="3">
        <v>272</v>
      </c>
      <c r="C85" s="3">
        <v>45</v>
      </c>
    </row>
    <row r="86" spans="1:3">
      <c r="A86" s="3" t="s">
        <v>700</v>
      </c>
      <c r="B86" s="3">
        <v>224.1</v>
      </c>
      <c r="C86" s="3">
        <v>55</v>
      </c>
    </row>
    <row r="87" spans="1:3">
      <c r="A87" s="3" t="s">
        <v>701</v>
      </c>
      <c r="B87" s="3">
        <v>5.0999999999999996</v>
      </c>
      <c r="C87" s="3">
        <v>50</v>
      </c>
    </row>
    <row r="88" spans="1:3">
      <c r="A88" s="3" t="s">
        <v>702</v>
      </c>
      <c r="B88" s="3">
        <v>5.8</v>
      </c>
      <c r="C88" s="3">
        <v>60</v>
      </c>
    </row>
    <row r="89" spans="1:3">
      <c r="A89" s="3" t="s">
        <v>703</v>
      </c>
      <c r="B89" s="3">
        <v>120.6</v>
      </c>
      <c r="C89" s="3">
        <v>70</v>
      </c>
    </row>
    <row r="90" spans="1:3">
      <c r="A90" s="3" t="s">
        <v>704</v>
      </c>
      <c r="B90" s="3">
        <v>134.80000000000001</v>
      </c>
      <c r="C90" s="3">
        <v>80</v>
      </c>
    </row>
    <row r="91" spans="1:3">
      <c r="A91" s="3" t="s">
        <v>705</v>
      </c>
      <c r="B91" s="3">
        <v>87</v>
      </c>
      <c r="C91" s="3">
        <v>85</v>
      </c>
    </row>
    <row r="92" spans="1:3">
      <c r="A92" s="3" t="s">
        <v>706</v>
      </c>
      <c r="B92" s="3">
        <v>176</v>
      </c>
      <c r="C92" s="3">
        <v>50</v>
      </c>
    </row>
    <row r="93" spans="1:3">
      <c r="A93" s="3" t="s">
        <v>707</v>
      </c>
      <c r="B93" s="3">
        <v>133</v>
      </c>
      <c r="C93" s="3">
        <v>75</v>
      </c>
    </row>
    <row r="94" spans="1:3">
      <c r="A94" s="3" t="s">
        <v>708</v>
      </c>
      <c r="B94" s="3">
        <v>10.4</v>
      </c>
      <c r="C94" s="3">
        <v>60</v>
      </c>
    </row>
    <row r="95" spans="1:3">
      <c r="A95" s="3" t="s">
        <v>709</v>
      </c>
      <c r="B95" s="3">
        <v>13.4</v>
      </c>
      <c r="C95" s="3">
        <v>60</v>
      </c>
    </row>
    <row r="96" spans="1:3">
      <c r="A96" s="3" t="s">
        <v>710</v>
      </c>
      <c r="B96" s="3">
        <v>128.5</v>
      </c>
      <c r="C96" s="3">
        <v>70</v>
      </c>
    </row>
    <row r="97" spans="1:3">
      <c r="A97" s="3" t="s">
        <v>711</v>
      </c>
      <c r="B97" s="3">
        <v>162.5</v>
      </c>
      <c r="C97" s="3">
        <v>80</v>
      </c>
    </row>
    <row r="98" spans="1:3">
      <c r="A98" s="3" t="s">
        <v>712</v>
      </c>
      <c r="B98" s="3">
        <v>124.1</v>
      </c>
      <c r="C98" s="3">
        <v>70</v>
      </c>
    </row>
    <row r="99" spans="1:3">
      <c r="A99" s="3" t="s">
        <v>713</v>
      </c>
      <c r="B99" s="3">
        <v>144.6</v>
      </c>
      <c r="C99" s="3">
        <v>80</v>
      </c>
    </row>
    <row r="100" spans="1:3">
      <c r="A100" s="3" t="s">
        <v>714</v>
      </c>
      <c r="B100" s="3">
        <v>101</v>
      </c>
      <c r="C100" s="3">
        <v>85</v>
      </c>
    </row>
    <row r="101" spans="1:3">
      <c r="A101" s="3" t="s">
        <v>715</v>
      </c>
      <c r="B101" s="3">
        <v>173</v>
      </c>
      <c r="C101" s="3">
        <v>60</v>
      </c>
    </row>
    <row r="102" spans="1:3">
      <c r="A102" s="3" t="s">
        <v>719</v>
      </c>
      <c r="B102" s="3">
        <v>345.8</v>
      </c>
      <c r="C102" s="3">
        <v>75</v>
      </c>
    </row>
    <row r="103" spans="1:3">
      <c r="A103" s="3" t="s">
        <v>720</v>
      </c>
      <c r="B103" s="3">
        <v>275.8</v>
      </c>
      <c r="C103" s="3">
        <v>70</v>
      </c>
    </row>
    <row r="104" spans="1:3">
      <c r="A104" s="3" t="s">
        <v>721</v>
      </c>
      <c r="B104" s="3">
        <v>172.3</v>
      </c>
      <c r="C104" s="3">
        <v>75</v>
      </c>
    </row>
    <row r="105" spans="1:3">
      <c r="A105" s="3" t="s">
        <v>722</v>
      </c>
      <c r="B105" s="3">
        <v>351</v>
      </c>
      <c r="C105" s="3">
        <v>75</v>
      </c>
    </row>
    <row r="106" spans="1:3">
      <c r="A106" s="3" t="s">
        <v>723</v>
      </c>
      <c r="B106" s="3">
        <v>322.2</v>
      </c>
      <c r="C106" s="3">
        <v>75</v>
      </c>
    </row>
    <row r="107" spans="1:3">
      <c r="A107" s="3" t="s">
        <v>724</v>
      </c>
      <c r="B107" s="3">
        <v>395.4</v>
      </c>
      <c r="C107" s="3">
        <v>75</v>
      </c>
    </row>
    <row r="108" spans="1:3">
      <c r="A108" s="3" t="s">
        <v>725</v>
      </c>
      <c r="B108" s="3">
        <v>242.1</v>
      </c>
      <c r="C108" s="3">
        <v>70</v>
      </c>
    </row>
    <row r="109" spans="1:3">
      <c r="A109" s="3" t="s">
        <v>726</v>
      </c>
      <c r="B109" s="3">
        <v>192</v>
      </c>
      <c r="C109" s="3">
        <v>80</v>
      </c>
    </row>
    <row r="110" spans="1:3">
      <c r="A110" s="3" t="s">
        <v>727</v>
      </c>
      <c r="B110" s="3">
        <v>184.1</v>
      </c>
      <c r="C110" s="3">
        <v>80</v>
      </c>
    </row>
    <row r="111" spans="1:3">
      <c r="A111" s="3" t="s">
        <v>728</v>
      </c>
      <c r="B111" s="3">
        <v>191.2</v>
      </c>
      <c r="C111" s="3">
        <v>45</v>
      </c>
    </row>
    <row r="112" spans="1:3">
      <c r="A112" s="3" t="s">
        <v>729</v>
      </c>
      <c r="B112" s="3">
        <v>103</v>
      </c>
      <c r="C112" s="3">
        <v>60</v>
      </c>
    </row>
    <row r="113" spans="1:3">
      <c r="A113" s="3" t="s">
        <v>730</v>
      </c>
      <c r="B113" s="3">
        <v>347</v>
      </c>
      <c r="C113" s="3">
        <v>85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F1A-D952-4263-A7A7-C68E89F66BFA}">
  <sheetPr codeName="工作表8"/>
  <dimension ref="A1:C47"/>
  <sheetViews>
    <sheetView workbookViewId="0">
      <selection activeCell="J47" sqref="J47"/>
    </sheetView>
  </sheetViews>
  <sheetFormatPr defaultColWidth="8.86328125" defaultRowHeight="16.149999999999999"/>
  <cols>
    <col min="1" max="1" width="25.53125" style="24" customWidth="1"/>
    <col min="2" max="16384" width="8.86328125" style="24"/>
  </cols>
  <sheetData>
    <row r="1" spans="1:3">
      <c r="A1" s="4" t="s">
        <v>754</v>
      </c>
    </row>
    <row r="2" spans="1:3">
      <c r="A2" s="29" t="s">
        <v>1</v>
      </c>
      <c r="B2" s="29" t="s">
        <v>731</v>
      </c>
      <c r="C2" s="29" t="s">
        <v>70</v>
      </c>
    </row>
    <row r="3" spans="1:3">
      <c r="A3" s="24" t="s">
        <v>732</v>
      </c>
      <c r="B3" s="24">
        <v>185.4</v>
      </c>
      <c r="C3" s="24">
        <v>50</v>
      </c>
    </row>
    <row r="4" spans="1:3">
      <c r="A4" s="24" t="s">
        <v>733</v>
      </c>
      <c r="B4" s="24">
        <v>241</v>
      </c>
      <c r="C4" s="24">
        <v>60</v>
      </c>
    </row>
    <row r="5" spans="1:3">
      <c r="A5" s="24" t="s">
        <v>734</v>
      </c>
      <c r="B5" s="24">
        <v>321.39999999999998</v>
      </c>
      <c r="C5" s="24">
        <v>70</v>
      </c>
    </row>
    <row r="6" spans="1:3">
      <c r="A6" s="24" t="s">
        <v>735</v>
      </c>
      <c r="B6" s="24">
        <v>644</v>
      </c>
      <c r="C6" s="24">
        <v>100</v>
      </c>
    </row>
    <row r="7" spans="1:3">
      <c r="A7" s="24" t="s">
        <v>736</v>
      </c>
      <c r="B7" s="24">
        <v>443</v>
      </c>
      <c r="C7" s="24">
        <v>45</v>
      </c>
    </row>
    <row r="8" spans="1:3">
      <c r="A8" s="24" t="s">
        <v>737</v>
      </c>
      <c r="B8" s="24">
        <v>424.2</v>
      </c>
      <c r="C8" s="24">
        <v>60</v>
      </c>
    </row>
    <row r="9" spans="1:3">
      <c r="A9" s="24" t="s">
        <v>738</v>
      </c>
      <c r="B9" s="24">
        <v>366</v>
      </c>
      <c r="C9" s="24">
        <v>25</v>
      </c>
    </row>
    <row r="10" spans="1:3">
      <c r="A10" s="24" t="s">
        <v>739</v>
      </c>
      <c r="B10" s="24">
        <v>446</v>
      </c>
      <c r="C10" s="24">
        <v>55</v>
      </c>
    </row>
    <row r="11" spans="1:3">
      <c r="A11" s="24" t="s">
        <v>740</v>
      </c>
      <c r="B11" s="24">
        <v>253</v>
      </c>
      <c r="C11" s="24">
        <v>30</v>
      </c>
    </row>
    <row r="12" spans="1:3">
      <c r="A12" s="24" t="s">
        <v>741</v>
      </c>
      <c r="B12" s="24">
        <v>341</v>
      </c>
      <c r="C12" s="24">
        <v>55</v>
      </c>
    </row>
    <row r="13" spans="1:3">
      <c r="A13" s="24" t="s">
        <v>742</v>
      </c>
      <c r="B13" s="24">
        <v>444.4</v>
      </c>
      <c r="C13" s="24">
        <v>90</v>
      </c>
    </row>
    <row r="14" spans="1:3">
      <c r="A14" s="24" t="s">
        <v>743</v>
      </c>
      <c r="B14" s="27">
        <v>612.6</v>
      </c>
      <c r="C14" s="24">
        <v>75</v>
      </c>
    </row>
    <row r="15" spans="1:3">
      <c r="A15" s="24" t="s">
        <v>744</v>
      </c>
      <c r="B15" s="24">
        <v>421</v>
      </c>
      <c r="C15" s="24">
        <v>45</v>
      </c>
    </row>
    <row r="16" spans="1:3">
      <c r="A16" s="24" t="s">
        <v>745</v>
      </c>
      <c r="B16" s="27">
        <v>344.1</v>
      </c>
      <c r="C16" s="24">
        <v>65</v>
      </c>
    </row>
    <row r="17" spans="1:3">
      <c r="A17" s="24" t="s">
        <v>746</v>
      </c>
      <c r="B17" s="27">
        <v>583</v>
      </c>
      <c r="C17" s="24">
        <v>50</v>
      </c>
    </row>
    <row r="18" spans="1:3">
      <c r="A18" s="24" t="s">
        <v>747</v>
      </c>
      <c r="B18" s="24">
        <v>529</v>
      </c>
      <c r="C18" s="24">
        <v>50</v>
      </c>
    </row>
    <row r="19" spans="1:3">
      <c r="A19" s="28" t="s">
        <v>748</v>
      </c>
      <c r="B19" s="24">
        <v>679</v>
      </c>
      <c r="C19" s="24">
        <v>50</v>
      </c>
    </row>
    <row r="20" spans="1:3">
      <c r="A20" s="24" t="s">
        <v>749</v>
      </c>
      <c r="B20" s="24">
        <v>15.3</v>
      </c>
      <c r="C20" s="24">
        <v>35</v>
      </c>
    </row>
    <row r="21" spans="1:3">
      <c r="A21" s="24" t="s">
        <v>750</v>
      </c>
      <c r="B21" s="27">
        <v>105.5</v>
      </c>
      <c r="C21" s="24">
        <v>45</v>
      </c>
    </row>
    <row r="22" spans="1:3">
      <c r="A22" s="24" t="s">
        <v>751</v>
      </c>
      <c r="B22" s="24">
        <v>161.4</v>
      </c>
      <c r="C22" s="24">
        <v>25</v>
      </c>
    </row>
    <row r="23" spans="1:3">
      <c r="A23" s="24" t="s">
        <v>752</v>
      </c>
      <c r="B23" s="24">
        <v>169.9</v>
      </c>
      <c r="C23" s="24">
        <v>45</v>
      </c>
    </row>
    <row r="24" spans="1:3">
      <c r="A24" s="24" t="s">
        <v>753</v>
      </c>
      <c r="B24" s="24">
        <v>193.5</v>
      </c>
      <c r="C24" s="24">
        <v>40</v>
      </c>
    </row>
    <row r="25" spans="1:3">
      <c r="A25" s="29" t="s">
        <v>4</v>
      </c>
      <c r="B25" s="29" t="s">
        <v>731</v>
      </c>
      <c r="C25" s="29" t="s">
        <v>70</v>
      </c>
    </row>
    <row r="26" spans="1:3">
      <c r="A26" s="24" t="s">
        <v>732</v>
      </c>
      <c r="B26" s="24">
        <v>185.4</v>
      </c>
      <c r="C26" s="24">
        <v>50</v>
      </c>
    </row>
    <row r="27" spans="1:3">
      <c r="A27" s="24" t="s">
        <v>733</v>
      </c>
      <c r="B27" s="24">
        <v>241</v>
      </c>
      <c r="C27" s="24">
        <v>60</v>
      </c>
    </row>
    <row r="28" spans="1:3">
      <c r="A28" s="24" t="s">
        <v>734</v>
      </c>
      <c r="B28" s="24">
        <v>321.39999999999998</v>
      </c>
      <c r="C28" s="24">
        <v>70</v>
      </c>
    </row>
    <row r="29" spans="1:3">
      <c r="A29" s="24" t="s">
        <v>735</v>
      </c>
      <c r="B29" s="24">
        <v>644</v>
      </c>
      <c r="C29" s="24">
        <v>100</v>
      </c>
    </row>
    <row r="30" spans="1:3">
      <c r="A30" s="24" t="s">
        <v>736</v>
      </c>
      <c r="B30" s="24">
        <v>443</v>
      </c>
      <c r="C30" s="24">
        <v>45</v>
      </c>
    </row>
    <row r="31" spans="1:3">
      <c r="A31" s="24" t="s">
        <v>737</v>
      </c>
      <c r="B31" s="24">
        <v>424.2</v>
      </c>
      <c r="C31" s="24">
        <v>60</v>
      </c>
    </row>
    <row r="32" spans="1:3">
      <c r="A32" s="24" t="s">
        <v>738</v>
      </c>
      <c r="B32" s="24">
        <v>366</v>
      </c>
      <c r="C32" s="24">
        <v>25</v>
      </c>
    </row>
    <row r="33" spans="1:3">
      <c r="A33" s="24" t="s">
        <v>739</v>
      </c>
      <c r="B33" s="24">
        <v>446</v>
      </c>
      <c r="C33" s="24">
        <v>55</v>
      </c>
    </row>
    <row r="34" spans="1:3">
      <c r="A34" s="24" t="s">
        <v>740</v>
      </c>
      <c r="B34" s="24">
        <v>253</v>
      </c>
      <c r="C34" s="24">
        <v>30</v>
      </c>
    </row>
    <row r="35" spans="1:3">
      <c r="A35" s="24" t="s">
        <v>741</v>
      </c>
      <c r="B35" s="24">
        <v>341</v>
      </c>
      <c r="C35" s="24">
        <v>55</v>
      </c>
    </row>
    <row r="36" spans="1:3">
      <c r="A36" s="24" t="s">
        <v>742</v>
      </c>
      <c r="B36" s="24">
        <v>444.4</v>
      </c>
      <c r="C36" s="24">
        <v>90</v>
      </c>
    </row>
    <row r="37" spans="1:3">
      <c r="A37" s="24" t="s">
        <v>743</v>
      </c>
      <c r="B37" s="27">
        <v>612.6</v>
      </c>
      <c r="C37" s="24">
        <v>75</v>
      </c>
    </row>
    <row r="38" spans="1:3">
      <c r="A38" s="24" t="s">
        <v>744</v>
      </c>
      <c r="B38" s="24">
        <v>421</v>
      </c>
      <c r="C38" s="24">
        <v>45</v>
      </c>
    </row>
    <row r="39" spans="1:3">
      <c r="A39" s="24" t="s">
        <v>745</v>
      </c>
      <c r="B39" s="27">
        <v>344.1</v>
      </c>
      <c r="C39" s="24">
        <v>65</v>
      </c>
    </row>
    <row r="40" spans="1:3">
      <c r="A40" s="24" t="s">
        <v>746</v>
      </c>
      <c r="B40" s="27">
        <v>583</v>
      </c>
      <c r="C40" s="24">
        <v>50</v>
      </c>
    </row>
    <row r="41" spans="1:3">
      <c r="A41" s="24" t="s">
        <v>747</v>
      </c>
      <c r="B41" s="24">
        <v>529</v>
      </c>
      <c r="C41" s="24">
        <v>50</v>
      </c>
    </row>
    <row r="42" spans="1:3">
      <c r="A42" s="28" t="s">
        <v>748</v>
      </c>
      <c r="B42" s="24">
        <v>679</v>
      </c>
      <c r="C42" s="24">
        <v>50</v>
      </c>
    </row>
    <row r="43" spans="1:3">
      <c r="A43" s="24" t="s">
        <v>749</v>
      </c>
      <c r="B43" s="24">
        <v>15.3</v>
      </c>
      <c r="C43" s="24">
        <v>35</v>
      </c>
    </row>
    <row r="44" spans="1:3">
      <c r="A44" s="24" t="s">
        <v>750</v>
      </c>
      <c r="B44" s="27">
        <v>105.5</v>
      </c>
      <c r="C44" s="24">
        <v>45</v>
      </c>
    </row>
    <row r="45" spans="1:3">
      <c r="A45" s="24" t="s">
        <v>751</v>
      </c>
      <c r="B45" s="24">
        <v>161.4</v>
      </c>
      <c r="C45" s="24">
        <v>25</v>
      </c>
    </row>
    <row r="46" spans="1:3">
      <c r="A46" s="24" t="s">
        <v>752</v>
      </c>
      <c r="B46" s="24">
        <v>169.9</v>
      </c>
      <c r="C46" s="24">
        <v>45</v>
      </c>
    </row>
    <row r="47" spans="1:3">
      <c r="A47" s="24" t="s">
        <v>753</v>
      </c>
      <c r="B47" s="24">
        <v>193.5</v>
      </c>
      <c r="C47" s="24">
        <v>40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06EDB-E2E2-439A-800B-A905BE997753}">
  <sheetPr codeName="工作表9"/>
  <dimension ref="A1:E9"/>
  <sheetViews>
    <sheetView workbookViewId="0">
      <selection activeCell="F4" sqref="F4"/>
    </sheetView>
  </sheetViews>
  <sheetFormatPr defaultRowHeight="26.45" customHeight="1"/>
  <cols>
    <col min="1" max="1" width="16.86328125" customWidth="1"/>
    <col min="2" max="5" width="13.796875" style="3" customWidth="1"/>
  </cols>
  <sheetData>
    <row r="1" spans="1:5" ht="26.45" customHeight="1">
      <c r="A1" s="4" t="s">
        <v>0</v>
      </c>
      <c r="B1" s="5" t="s">
        <v>1</v>
      </c>
      <c r="C1" s="3" t="s">
        <v>4</v>
      </c>
      <c r="D1" s="3" t="s">
        <v>5</v>
      </c>
      <c r="E1" s="3" t="s">
        <v>6</v>
      </c>
    </row>
    <row r="2" spans="1:5" ht="26.45" customHeight="1">
      <c r="A2" s="4" t="s">
        <v>207</v>
      </c>
      <c r="B2" s="3" t="s">
        <v>4</v>
      </c>
      <c r="C2" s="3" t="s">
        <v>5</v>
      </c>
      <c r="D2" s="3" t="s">
        <v>6</v>
      </c>
      <c r="E2"/>
    </row>
    <row r="3" spans="1:5" ht="26.45" customHeight="1">
      <c r="A3" s="4" t="s">
        <v>243</v>
      </c>
      <c r="B3" s="3" t="s">
        <v>4</v>
      </c>
      <c r="C3" s="3" t="s">
        <v>5</v>
      </c>
      <c r="D3"/>
      <c r="E3"/>
    </row>
    <row r="4" spans="1:5" ht="26.45" customHeight="1">
      <c r="A4" s="4" t="s">
        <v>62</v>
      </c>
      <c r="B4" s="3" t="s">
        <v>6</v>
      </c>
      <c r="E4"/>
    </row>
    <row r="5" spans="1:5" ht="26.45" customHeight="1">
      <c r="A5" s="4" t="s">
        <v>63</v>
      </c>
      <c r="B5" s="3" t="s">
        <v>1</v>
      </c>
      <c r="C5" s="3" t="s">
        <v>6</v>
      </c>
    </row>
    <row r="6" spans="1:5" ht="26.45" customHeight="1">
      <c r="A6" s="4" t="s">
        <v>64</v>
      </c>
      <c r="B6" s="3" t="s">
        <v>1</v>
      </c>
      <c r="C6" s="3" t="s">
        <v>4</v>
      </c>
    </row>
    <row r="7" spans="1:5" ht="26.45" customHeight="1">
      <c r="A7" s="4" t="s">
        <v>61</v>
      </c>
      <c r="B7" s="3" t="s">
        <v>1</v>
      </c>
      <c r="C7" s="3" t="s">
        <v>4</v>
      </c>
      <c r="D7" s="3" t="s">
        <v>5</v>
      </c>
      <c r="E7" s="3" t="s">
        <v>6</v>
      </c>
    </row>
    <row r="8" spans="1:5" ht="26.45" customHeight="1">
      <c r="A8" s="4" t="s">
        <v>754</v>
      </c>
      <c r="B8" s="3" t="s">
        <v>1</v>
      </c>
      <c r="C8" s="3" t="s">
        <v>4</v>
      </c>
    </row>
    <row r="9" spans="1:5" ht="26.45" customHeight="1">
      <c r="A9" s="33" t="s">
        <v>755</v>
      </c>
      <c r="B9" s="3" t="s">
        <v>1</v>
      </c>
      <c r="C9" s="3" t="s">
        <v>4</v>
      </c>
      <c r="D9" s="3" t="s">
        <v>5</v>
      </c>
      <c r="E9" s="3" t="s">
        <v>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684C1-744A-4766-B147-4B8AB76C5635}">
  <sheetPr codeName="工作表10"/>
  <dimension ref="A1:K19"/>
  <sheetViews>
    <sheetView workbookViewId="0">
      <selection activeCell="C2" sqref="C2"/>
    </sheetView>
  </sheetViews>
  <sheetFormatPr defaultRowHeight="16.149999999999999"/>
  <cols>
    <col min="1" max="2" width="12.46484375" customWidth="1"/>
    <col min="3" max="3" width="26.1328125" customWidth="1"/>
    <col min="4" max="5" width="12.46484375" customWidth="1"/>
    <col min="6" max="6" width="12.46484375" style="34" customWidth="1"/>
    <col min="7" max="7" width="12.46484375" customWidth="1"/>
    <col min="8" max="8" width="12.46484375" style="34" customWidth="1"/>
    <col min="9" max="9" width="12.46484375" customWidth="1"/>
    <col min="10" max="10" width="16.46484375" customWidth="1"/>
    <col min="11" max="11" width="37.86328125" customWidth="1"/>
    <col min="12" max="12" width="51.6640625" customWidth="1"/>
  </cols>
  <sheetData>
    <row r="1" spans="1:11" ht="29.45" customHeight="1">
      <c r="A1" s="30" t="s">
        <v>65</v>
      </c>
      <c r="B1" s="31" t="s">
        <v>66</v>
      </c>
      <c r="C1" s="31" t="s">
        <v>67</v>
      </c>
      <c r="D1" s="50" t="s">
        <v>68</v>
      </c>
      <c r="E1" s="50" t="s">
        <v>69</v>
      </c>
      <c r="F1" s="31" t="s">
        <v>771</v>
      </c>
      <c r="G1" s="50" t="s">
        <v>731</v>
      </c>
      <c r="H1" s="31" t="s">
        <v>772</v>
      </c>
      <c r="I1" s="51" t="s">
        <v>70</v>
      </c>
      <c r="J1" s="31" t="s">
        <v>71</v>
      </c>
      <c r="K1" s="31" t="s">
        <v>757</v>
      </c>
    </row>
    <row r="2" spans="1:11">
      <c r="A2" s="40" t="s">
        <v>780</v>
      </c>
      <c r="B2" s="40" t="s">
        <v>60</v>
      </c>
      <c r="C2" s="40" t="s">
        <v>309</v>
      </c>
      <c r="D2" s="35">
        <v>60</v>
      </c>
      <c r="E2" s="35">
        <v>65</v>
      </c>
      <c r="F2" s="37">
        <f t="shared" ref="F2:F8" ca="1" si="0">IFERROR(VLOOKUP(C2,INDIRECT(A2&amp;"!A1:C200"),2,0),"")</f>
        <v>273</v>
      </c>
      <c r="G2" s="42"/>
      <c r="H2" s="37">
        <f ca="1">IFERROR(VLOOKUP(C2,INDIRECT(A2&amp;"!A1:C200"),3,0),"")</f>
        <v>50</v>
      </c>
      <c r="I2" s="44"/>
      <c r="J2" s="48">
        <v>30</v>
      </c>
      <c r="K2" s="46" t="s">
        <v>830</v>
      </c>
    </row>
    <row r="3" spans="1:11">
      <c r="A3" s="40" t="s">
        <v>778</v>
      </c>
      <c r="B3" s="40" t="s">
        <v>761</v>
      </c>
      <c r="C3" s="40" t="s">
        <v>828</v>
      </c>
      <c r="D3" s="35">
        <v>80</v>
      </c>
      <c r="E3" s="35">
        <v>70</v>
      </c>
      <c r="F3" s="37">
        <f t="shared" ca="1" si="0"/>
        <v>208</v>
      </c>
      <c r="G3" s="42"/>
      <c r="H3" s="37">
        <f t="shared" ref="H3:H9" ca="1" si="1">IFERROR(VLOOKUP(C3,INDIRECT(A3&amp;"!A1:C200"),3,0),"")</f>
        <v>85</v>
      </c>
      <c r="I3" s="44"/>
      <c r="J3" s="48">
        <v>25</v>
      </c>
      <c r="K3" s="46" t="s">
        <v>831</v>
      </c>
    </row>
    <row r="4" spans="1:11">
      <c r="A4" s="40" t="s">
        <v>762</v>
      </c>
      <c r="B4" s="40" t="s">
        <v>763</v>
      </c>
      <c r="C4" s="40" t="s">
        <v>604</v>
      </c>
      <c r="D4" s="35">
        <v>100</v>
      </c>
      <c r="E4" s="35">
        <v>30</v>
      </c>
      <c r="F4" s="37">
        <f t="shared" ca="1" si="0"/>
        <v>443</v>
      </c>
      <c r="G4" s="42"/>
      <c r="H4" s="37">
        <f t="shared" ca="1" si="1"/>
        <v>150</v>
      </c>
      <c r="I4" s="44"/>
      <c r="J4" s="48">
        <v>22</v>
      </c>
      <c r="K4" s="46" t="s">
        <v>833</v>
      </c>
    </row>
    <row r="5" spans="1:11">
      <c r="A5" s="40" t="s">
        <v>776</v>
      </c>
      <c r="B5" s="40" t="s">
        <v>760</v>
      </c>
      <c r="C5" s="40" t="s">
        <v>832</v>
      </c>
      <c r="D5" s="35">
        <v>90</v>
      </c>
      <c r="E5" s="35">
        <v>85</v>
      </c>
      <c r="F5" s="37">
        <f t="shared" ca="1" si="0"/>
        <v>1051.1999999999998</v>
      </c>
      <c r="G5" s="42"/>
      <c r="H5" s="37">
        <f t="shared" ca="1" si="1"/>
        <v>250</v>
      </c>
      <c r="I5" s="44"/>
      <c r="J5" s="48">
        <v>102</v>
      </c>
      <c r="K5" s="46" t="s">
        <v>834</v>
      </c>
    </row>
    <row r="6" spans="1:11">
      <c r="A6" s="40" t="s">
        <v>782</v>
      </c>
      <c r="B6" s="40" t="s">
        <v>763</v>
      </c>
      <c r="C6" s="40" t="s">
        <v>829</v>
      </c>
      <c r="D6" s="35">
        <v>30</v>
      </c>
      <c r="E6" s="35">
        <v>90</v>
      </c>
      <c r="F6" s="37" t="str">
        <f t="shared" ca="1" si="0"/>
        <v/>
      </c>
      <c r="G6" s="42">
        <v>500</v>
      </c>
      <c r="H6" s="37" t="str">
        <f t="shared" ca="1" si="1"/>
        <v/>
      </c>
      <c r="I6" s="44">
        <v>100</v>
      </c>
      <c r="J6" s="48">
        <v>27</v>
      </c>
      <c r="K6" s="46"/>
    </row>
    <row r="7" spans="1:11">
      <c r="A7" s="40"/>
      <c r="B7" s="40"/>
      <c r="C7" s="40"/>
      <c r="D7" s="35"/>
      <c r="E7" s="35"/>
      <c r="F7" s="37" t="str">
        <f t="shared" ca="1" si="0"/>
        <v/>
      </c>
      <c r="G7" s="42"/>
      <c r="H7" s="37" t="str">
        <f t="shared" ca="1" si="1"/>
        <v/>
      </c>
      <c r="I7" s="44"/>
      <c r="J7" s="48"/>
      <c r="K7" s="46"/>
    </row>
    <row r="8" spans="1:11">
      <c r="A8" s="40"/>
      <c r="B8" s="40"/>
      <c r="C8" s="40"/>
      <c r="D8" s="35"/>
      <c r="E8" s="35"/>
      <c r="F8" s="37" t="str">
        <f t="shared" ca="1" si="0"/>
        <v/>
      </c>
      <c r="G8" s="42"/>
      <c r="H8" s="37" t="str">
        <f t="shared" ca="1" si="1"/>
        <v/>
      </c>
      <c r="I8" s="44"/>
      <c r="J8" s="48"/>
      <c r="K8" s="46"/>
    </row>
    <row r="9" spans="1:11">
      <c r="A9" s="40"/>
      <c r="B9" s="40"/>
      <c r="C9" s="40"/>
      <c r="D9" s="35"/>
      <c r="E9" s="35"/>
      <c r="F9" s="37" t="str">
        <f ca="1">IFERROR(VLOOKUP(C9,INDIRECT(A9&amp;"!A1:C200"),2,0),"")</f>
        <v/>
      </c>
      <c r="G9" s="42"/>
      <c r="H9" s="37" t="str">
        <f t="shared" ca="1" si="1"/>
        <v/>
      </c>
      <c r="I9" s="44"/>
      <c r="J9" s="48"/>
      <c r="K9" s="46"/>
    </row>
    <row r="10" spans="1:11" ht="16.5" thickBot="1">
      <c r="A10" s="41"/>
      <c r="B10" s="41"/>
      <c r="C10" s="41"/>
      <c r="D10" s="36"/>
      <c r="E10" s="36"/>
      <c r="F10" s="43" t="str">
        <f ca="1">IFERROR(VLOOKUP(C10,INDIRECT(A10&amp;"!A1:C200"),2,0),"")</f>
        <v/>
      </c>
      <c r="G10" s="43"/>
      <c r="H10" s="38" t="str">
        <f ca="1">IFERROR(VLOOKUP(C10,INDIRECT(A10&amp;"!A1:C200"),3,0),"")</f>
        <v/>
      </c>
      <c r="I10" s="45"/>
      <c r="J10" s="49"/>
      <c r="K10" s="47"/>
    </row>
    <row r="11" spans="1:11">
      <c r="A11" s="52" t="s">
        <v>756</v>
      </c>
      <c r="B11" s="35"/>
      <c r="C11" s="35"/>
      <c r="D11" s="35"/>
      <c r="E11" s="82">
        <f>SUM(E2:E10)</f>
        <v>340</v>
      </c>
      <c r="F11" s="39">
        <f ca="1">SUM(F2:G10)</f>
        <v>2475.1999999999998</v>
      </c>
      <c r="G11" s="35"/>
      <c r="H11" s="39">
        <f ca="1">SUM(H2:I10)</f>
        <v>635</v>
      </c>
      <c r="I11" s="35"/>
      <c r="J11" s="35">
        <f>SUM(J2:J10)</f>
        <v>206</v>
      </c>
    </row>
    <row r="13" spans="1:11">
      <c r="A13" s="53" t="s">
        <v>758</v>
      </c>
    </row>
    <row r="14" spans="1:11">
      <c r="A14" s="54">
        <v>600</v>
      </c>
    </row>
    <row r="19" spans="4:4">
      <c r="D19" s="32"/>
    </row>
  </sheetData>
  <phoneticPr fontId="2" type="noConversion"/>
  <dataValidations count="3">
    <dataValidation type="list" allowBlank="1" showInputMessage="1" showErrorMessage="1" sqref="A2:A10" xr:uid="{C747551C-8A37-4518-A20B-9B94D790FBF7}">
      <formula1>商家列表</formula1>
    </dataValidation>
    <dataValidation type="list" allowBlank="1" showInputMessage="1" showErrorMessage="1" sqref="B2:B10" xr:uid="{95968288-DCF5-4DBA-AF8B-5E56A4205172}">
      <formula1>INDIRECT(A2)</formula1>
    </dataValidation>
    <dataValidation type="list" allowBlank="1" showInputMessage="1" sqref="C2:C10" xr:uid="{52367C43-BAA9-483B-8C65-140712E978F5}">
      <formula1>INDIRECT(A2&amp;B2)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lculate">
                <anchor moveWithCells="1" sizeWithCells="1">
                  <from>
                    <xdr:col>2</xdr:col>
                    <xdr:colOff>9525</xdr:colOff>
                    <xdr:row>14</xdr:row>
                    <xdr:rowOff>200025</xdr:rowOff>
                  </from>
                  <to>
                    <xdr:col>3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eliminate">
                <anchor moveWithCells="1" sizeWithCells="1">
                  <from>
                    <xdr:col>4</xdr:col>
                    <xdr:colOff>14288</xdr:colOff>
                    <xdr:row>15</xdr:row>
                    <xdr:rowOff>14288</xdr:rowOff>
                  </from>
                  <to>
                    <xdr:col>4</xdr:col>
                    <xdr:colOff>838200</xdr:colOff>
                    <xdr:row>17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1A370-FEC0-44BD-A0D4-0E0B5C24BDD9}">
  <sheetPr codeName="工作表13"/>
  <dimension ref="A1:L68"/>
  <sheetViews>
    <sheetView tabSelected="1" workbookViewId="0">
      <selection activeCell="C10" sqref="C10"/>
    </sheetView>
  </sheetViews>
  <sheetFormatPr defaultColWidth="9.1328125" defaultRowHeight="16.149999999999999"/>
  <cols>
    <col min="1" max="1" width="10.46484375" style="56" bestFit="1" customWidth="1"/>
    <col min="2" max="3" width="12.46484375" style="56" customWidth="1"/>
    <col min="4" max="4" width="26.1328125" style="56" customWidth="1"/>
    <col min="5" max="6" width="12.46484375" style="56" customWidth="1"/>
    <col min="7" max="7" width="12.46484375" style="69" customWidth="1"/>
    <col min="8" max="8" width="12.46484375" style="56" customWidth="1"/>
    <col min="9" max="9" width="12.46484375" style="69" customWidth="1"/>
    <col min="10" max="10" width="12.46484375" style="56" customWidth="1"/>
    <col min="11" max="11" width="16.46484375" style="56" customWidth="1"/>
    <col min="12" max="12" width="37.86328125" style="56" customWidth="1"/>
    <col min="13" max="13" width="51.6640625" style="56" customWidth="1"/>
    <col min="14" max="16384" width="9.1328125" style="56"/>
  </cols>
  <sheetData>
    <row r="1" spans="1:12" ht="29.45" customHeight="1">
      <c r="A1" s="55" t="s">
        <v>773</v>
      </c>
      <c r="B1" s="55" t="s">
        <v>65</v>
      </c>
      <c r="C1" s="55" t="s">
        <v>66</v>
      </c>
      <c r="D1" s="55" t="s">
        <v>67</v>
      </c>
      <c r="E1" s="55" t="s">
        <v>68</v>
      </c>
      <c r="F1" s="55" t="s">
        <v>69</v>
      </c>
      <c r="G1" s="55" t="s">
        <v>771</v>
      </c>
      <c r="H1" s="55" t="s">
        <v>731</v>
      </c>
      <c r="I1" s="55" t="s">
        <v>772</v>
      </c>
      <c r="J1" s="55" t="s">
        <v>70</v>
      </c>
      <c r="K1" s="55" t="s">
        <v>71</v>
      </c>
      <c r="L1" s="55" t="s">
        <v>757</v>
      </c>
    </row>
    <row r="2" spans="1:12">
      <c r="A2" s="57">
        <v>45597</v>
      </c>
      <c r="B2" s="56" t="s">
        <v>767</v>
      </c>
      <c r="C2" s="56" t="s">
        <v>763</v>
      </c>
      <c r="D2" s="56" t="s">
        <v>768</v>
      </c>
      <c r="E2" s="56">
        <v>100</v>
      </c>
      <c r="F2" s="56">
        <v>100</v>
      </c>
      <c r="G2" s="58">
        <f t="shared" ref="G2:G21" ca="1" si="0">IFERROR(VLOOKUP(D2,INDIRECT(B2&amp;"!A1:C200"),2,0),"")</f>
        <v>222.6</v>
      </c>
      <c r="H2" s="59"/>
      <c r="I2" s="58">
        <f ca="1">IFERROR(VLOOKUP(D2,INDIRECT(B2&amp;"!A1:C200"),3,0),"")</f>
        <v>65</v>
      </c>
      <c r="J2" s="60"/>
      <c r="K2" s="61">
        <v>55</v>
      </c>
      <c r="L2" s="78" t="s">
        <v>765</v>
      </c>
    </row>
    <row r="3" spans="1:12">
      <c r="A3" s="57">
        <v>45598</v>
      </c>
      <c r="B3" s="56" t="s">
        <v>764</v>
      </c>
      <c r="C3" s="56" t="s">
        <v>761</v>
      </c>
      <c r="D3" s="56" t="s">
        <v>769</v>
      </c>
      <c r="E3" s="56">
        <v>40</v>
      </c>
      <c r="F3" s="56">
        <v>100</v>
      </c>
      <c r="G3" s="58">
        <f t="shared" ca="1" si="0"/>
        <v>443</v>
      </c>
      <c r="H3" s="59"/>
      <c r="I3" s="58">
        <f t="shared" ref="I3:I57" ca="1" si="1">IFERROR(VLOOKUP(D3,INDIRECT(B3&amp;"!A1:C200"),3,0),"")</f>
        <v>45</v>
      </c>
      <c r="J3" s="60"/>
      <c r="K3" s="61">
        <v>53</v>
      </c>
      <c r="L3" s="78" t="s">
        <v>809</v>
      </c>
    </row>
    <row r="4" spans="1:12">
      <c r="A4" s="57">
        <v>45601</v>
      </c>
      <c r="B4" s="56" t="s">
        <v>762</v>
      </c>
      <c r="C4" s="56" t="s">
        <v>763</v>
      </c>
      <c r="D4" s="56" t="s">
        <v>567</v>
      </c>
      <c r="E4" s="56">
        <v>30</v>
      </c>
      <c r="F4" s="56">
        <v>100</v>
      </c>
      <c r="G4" s="58">
        <f t="shared" ca="1" si="0"/>
        <v>249</v>
      </c>
      <c r="H4" s="59"/>
      <c r="I4" s="58">
        <f t="shared" ca="1" si="1"/>
        <v>56</v>
      </c>
      <c r="J4" s="60"/>
      <c r="K4" s="61">
        <v>20</v>
      </c>
      <c r="L4" s="78" t="s">
        <v>810</v>
      </c>
    </row>
    <row r="5" spans="1:12">
      <c r="A5" s="57">
        <v>45604</v>
      </c>
      <c r="B5" s="56" t="s">
        <v>767</v>
      </c>
      <c r="C5" s="56" t="s">
        <v>763</v>
      </c>
      <c r="D5" s="56" t="s">
        <v>770</v>
      </c>
      <c r="E5" s="56">
        <v>50</v>
      </c>
      <c r="F5" s="56">
        <v>80</v>
      </c>
      <c r="G5" s="58">
        <f t="shared" ca="1" si="0"/>
        <v>355</v>
      </c>
      <c r="H5" s="59"/>
      <c r="I5" s="58">
        <f t="shared" ca="1" si="1"/>
        <v>90</v>
      </c>
      <c r="J5" s="60"/>
      <c r="K5" s="61">
        <v>30</v>
      </c>
      <c r="L5" s="78" t="s">
        <v>766</v>
      </c>
    </row>
    <row r="6" spans="1:12">
      <c r="A6" s="57">
        <v>45599</v>
      </c>
      <c r="B6" s="56" t="s">
        <v>759</v>
      </c>
      <c r="C6" s="56" t="s">
        <v>760</v>
      </c>
      <c r="D6" s="56" t="s">
        <v>134</v>
      </c>
      <c r="E6" s="56">
        <v>90</v>
      </c>
      <c r="F6" s="56">
        <v>90</v>
      </c>
      <c r="G6" s="58">
        <f t="shared" ca="1" si="0"/>
        <v>800</v>
      </c>
      <c r="H6" s="59"/>
      <c r="I6" s="58">
        <f t="shared" ca="1" si="1"/>
        <v>250</v>
      </c>
      <c r="J6" s="60"/>
      <c r="K6" s="61">
        <v>82</v>
      </c>
      <c r="L6" s="62"/>
    </row>
    <row r="7" spans="1:12">
      <c r="A7" s="57">
        <v>45602</v>
      </c>
      <c r="B7" s="56" t="s">
        <v>776</v>
      </c>
      <c r="C7" s="56" t="s">
        <v>760</v>
      </c>
      <c r="D7" s="56" t="s">
        <v>777</v>
      </c>
      <c r="E7" s="56">
        <v>100</v>
      </c>
      <c r="F7" s="56">
        <v>80</v>
      </c>
      <c r="G7" s="58">
        <f t="shared" ca="1" si="0"/>
        <v>1039.1999999999998</v>
      </c>
      <c r="H7" s="59"/>
      <c r="I7" s="58">
        <f t="shared" ca="1" si="1"/>
        <v>210</v>
      </c>
      <c r="J7" s="60"/>
      <c r="K7" s="61">
        <v>115</v>
      </c>
      <c r="L7" s="62"/>
    </row>
    <row r="8" spans="1:12">
      <c r="A8" s="57">
        <v>45603</v>
      </c>
      <c r="B8" s="56" t="s">
        <v>778</v>
      </c>
      <c r="C8" s="56" t="s">
        <v>760</v>
      </c>
      <c r="D8" s="56" t="s">
        <v>779</v>
      </c>
      <c r="E8" s="56">
        <v>96</v>
      </c>
      <c r="F8" s="56">
        <v>70</v>
      </c>
      <c r="G8" s="58">
        <f t="shared" ca="1" si="0"/>
        <v>478.2</v>
      </c>
      <c r="H8" s="59"/>
      <c r="I8" s="58">
        <f t="shared" ca="1" si="1"/>
        <v>75</v>
      </c>
      <c r="J8" s="60"/>
      <c r="K8" s="61">
        <v>74</v>
      </c>
      <c r="L8" s="62"/>
    </row>
    <row r="9" spans="1:12">
      <c r="A9" s="57">
        <v>45607</v>
      </c>
      <c r="B9" s="56" t="s">
        <v>776</v>
      </c>
      <c r="C9" s="56" t="s">
        <v>761</v>
      </c>
      <c r="D9" s="56" t="s">
        <v>777</v>
      </c>
      <c r="E9" s="56">
        <v>95</v>
      </c>
      <c r="F9" s="56">
        <v>100</v>
      </c>
      <c r="G9" s="58">
        <f t="shared" ca="1" si="0"/>
        <v>1039.1999999999998</v>
      </c>
      <c r="H9" s="59"/>
      <c r="I9" s="58">
        <f t="shared" ca="1" si="1"/>
        <v>210</v>
      </c>
      <c r="J9" s="60"/>
      <c r="K9" s="61">
        <v>136</v>
      </c>
      <c r="L9" s="62"/>
    </row>
    <row r="10" spans="1:12">
      <c r="A10" s="57">
        <v>45609</v>
      </c>
      <c r="B10" s="56" t="s">
        <v>759</v>
      </c>
      <c r="C10" s="56" t="s">
        <v>763</v>
      </c>
      <c r="D10" s="56" t="s">
        <v>112</v>
      </c>
      <c r="E10" s="56">
        <v>94</v>
      </c>
      <c r="F10" s="56">
        <v>94</v>
      </c>
      <c r="G10" s="58">
        <f t="shared" ca="1" si="0"/>
        <v>350</v>
      </c>
      <c r="H10" s="59"/>
      <c r="I10" s="58">
        <f t="shared" ca="1" si="1"/>
        <v>120</v>
      </c>
      <c r="J10" s="60"/>
      <c r="K10" s="61">
        <v>56</v>
      </c>
      <c r="L10" s="62"/>
    </row>
    <row r="11" spans="1:12">
      <c r="A11" s="57">
        <v>45608</v>
      </c>
      <c r="B11" s="56" t="s">
        <v>762</v>
      </c>
      <c r="C11" s="56" t="s">
        <v>763</v>
      </c>
      <c r="D11" s="56" t="s">
        <v>567</v>
      </c>
      <c r="E11" s="56">
        <v>94</v>
      </c>
      <c r="F11" s="56">
        <v>93</v>
      </c>
      <c r="G11" s="58">
        <f t="shared" ca="1" si="0"/>
        <v>249</v>
      </c>
      <c r="H11" s="59"/>
      <c r="I11" s="58">
        <f t="shared" ca="1" si="1"/>
        <v>56</v>
      </c>
      <c r="J11" s="60"/>
      <c r="K11" s="61">
        <v>58</v>
      </c>
      <c r="L11" s="62"/>
    </row>
    <row r="12" spans="1:12">
      <c r="A12" s="57">
        <v>45611</v>
      </c>
      <c r="B12" s="56" t="s">
        <v>764</v>
      </c>
      <c r="C12" s="56" t="s">
        <v>761</v>
      </c>
      <c r="D12" s="56" t="s">
        <v>367</v>
      </c>
      <c r="E12" s="56">
        <v>85</v>
      </c>
      <c r="F12" s="56">
        <v>82</v>
      </c>
      <c r="G12" s="58">
        <f t="shared" ca="1" si="0"/>
        <v>583</v>
      </c>
      <c r="H12" s="59"/>
      <c r="I12" s="58">
        <f t="shared" ca="1" si="1"/>
        <v>50</v>
      </c>
      <c r="J12" s="60"/>
      <c r="K12" s="61">
        <v>115</v>
      </c>
      <c r="L12" s="62"/>
    </row>
    <row r="13" spans="1:12">
      <c r="A13" s="57">
        <v>45616</v>
      </c>
      <c r="B13" s="56" t="s">
        <v>780</v>
      </c>
      <c r="C13" s="56" t="s">
        <v>761</v>
      </c>
      <c r="D13" s="56" t="s">
        <v>369</v>
      </c>
      <c r="E13" s="56">
        <v>60</v>
      </c>
      <c r="F13" s="56">
        <v>76</v>
      </c>
      <c r="G13" s="58">
        <f t="shared" ca="1" si="0"/>
        <v>424</v>
      </c>
      <c r="H13" s="59"/>
      <c r="I13" s="58">
        <f t="shared" ca="1" si="1"/>
        <v>55</v>
      </c>
      <c r="J13" s="60"/>
      <c r="K13" s="61">
        <v>52</v>
      </c>
      <c r="L13" s="62"/>
    </row>
    <row r="14" spans="1:12">
      <c r="A14" s="57">
        <v>45599</v>
      </c>
      <c r="B14" s="56" t="s">
        <v>759</v>
      </c>
      <c r="C14" s="56" t="s">
        <v>760</v>
      </c>
      <c r="D14" s="56" t="s">
        <v>104</v>
      </c>
      <c r="E14" s="56">
        <v>75</v>
      </c>
      <c r="F14" s="56">
        <v>100</v>
      </c>
      <c r="G14" s="58">
        <f t="shared" ca="1" si="0"/>
        <v>500</v>
      </c>
      <c r="H14" s="59"/>
      <c r="I14" s="58">
        <f t="shared" ca="1" si="1"/>
        <v>230</v>
      </c>
      <c r="J14" s="60"/>
      <c r="K14" s="61">
        <v>49</v>
      </c>
      <c r="L14" s="62"/>
    </row>
    <row r="15" spans="1:12">
      <c r="A15" s="57">
        <v>45600</v>
      </c>
      <c r="B15" s="56" t="s">
        <v>767</v>
      </c>
      <c r="C15" s="56" t="s">
        <v>763</v>
      </c>
      <c r="D15" s="56" t="s">
        <v>790</v>
      </c>
      <c r="E15" s="56">
        <v>77</v>
      </c>
      <c r="F15" s="56">
        <v>100</v>
      </c>
      <c r="G15" s="58">
        <f t="shared" ca="1" si="0"/>
        <v>191.8</v>
      </c>
      <c r="H15" s="59"/>
      <c r="I15" s="58">
        <f t="shared" ca="1" si="1"/>
        <v>70</v>
      </c>
      <c r="J15" s="60"/>
      <c r="K15" s="61">
        <v>35</v>
      </c>
      <c r="L15" s="62"/>
    </row>
    <row r="16" spans="1:12">
      <c r="A16" s="57">
        <v>45601</v>
      </c>
      <c r="B16" s="56" t="s">
        <v>780</v>
      </c>
      <c r="C16" s="56" t="s">
        <v>761</v>
      </c>
      <c r="D16" s="56" t="s">
        <v>370</v>
      </c>
      <c r="E16" s="56">
        <v>81</v>
      </c>
      <c r="F16" s="56">
        <v>100</v>
      </c>
      <c r="G16" s="58">
        <f t="shared" ca="1" si="0"/>
        <v>430</v>
      </c>
      <c r="H16" s="59"/>
      <c r="I16" s="58">
        <f t="shared" ca="1" si="1"/>
        <v>120</v>
      </c>
      <c r="J16" s="60"/>
      <c r="K16" s="61">
        <v>64</v>
      </c>
      <c r="L16" s="62"/>
    </row>
    <row r="17" spans="1:12">
      <c r="A17" s="57">
        <v>45602</v>
      </c>
      <c r="B17" s="56" t="s">
        <v>764</v>
      </c>
      <c r="C17" s="56" t="s">
        <v>761</v>
      </c>
      <c r="D17" s="56" t="s">
        <v>769</v>
      </c>
      <c r="E17" s="56">
        <v>83</v>
      </c>
      <c r="F17" s="56">
        <v>35</v>
      </c>
      <c r="G17" s="58">
        <f t="shared" ca="1" si="0"/>
        <v>443</v>
      </c>
      <c r="H17" s="59"/>
      <c r="I17" s="58">
        <f t="shared" ca="1" si="1"/>
        <v>45</v>
      </c>
      <c r="J17" s="60"/>
      <c r="K17" s="61">
        <v>38</v>
      </c>
      <c r="L17" s="62"/>
    </row>
    <row r="18" spans="1:12">
      <c r="A18" s="57">
        <v>45611</v>
      </c>
      <c r="B18" s="56" t="s">
        <v>780</v>
      </c>
      <c r="C18" s="56" t="s">
        <v>761</v>
      </c>
      <c r="D18" s="56" t="s">
        <v>372</v>
      </c>
      <c r="E18" s="56">
        <v>90</v>
      </c>
      <c r="F18" s="56">
        <v>80</v>
      </c>
      <c r="G18" s="58">
        <f t="shared" ca="1" si="0"/>
        <v>439</v>
      </c>
      <c r="H18" s="59"/>
      <c r="I18" s="58">
        <f t="shared" ca="1" si="1"/>
        <v>110</v>
      </c>
      <c r="J18" s="60"/>
      <c r="K18" s="61">
        <v>60</v>
      </c>
      <c r="L18" s="62"/>
    </row>
    <row r="19" spans="1:12">
      <c r="A19" s="57">
        <v>45612</v>
      </c>
      <c r="B19" s="56" t="s">
        <v>759</v>
      </c>
      <c r="C19" s="56" t="s">
        <v>760</v>
      </c>
      <c r="D19" s="56" t="s">
        <v>104</v>
      </c>
      <c r="E19" s="56">
        <v>100</v>
      </c>
      <c r="F19" s="56">
        <v>85</v>
      </c>
      <c r="G19" s="58">
        <f t="shared" ca="1" si="0"/>
        <v>500</v>
      </c>
      <c r="H19" s="59"/>
      <c r="I19" s="58">
        <f t="shared" ca="1" si="1"/>
        <v>230</v>
      </c>
      <c r="J19" s="60"/>
      <c r="K19" s="61">
        <v>56</v>
      </c>
      <c r="L19" s="62"/>
    </row>
    <row r="20" spans="1:12">
      <c r="A20" s="57">
        <v>45613</v>
      </c>
      <c r="B20" s="56" t="s">
        <v>762</v>
      </c>
      <c r="C20" s="56" t="s">
        <v>763</v>
      </c>
      <c r="D20" s="56" t="s">
        <v>791</v>
      </c>
      <c r="E20" s="56">
        <v>100</v>
      </c>
      <c r="F20" s="56">
        <v>100</v>
      </c>
      <c r="G20" s="58">
        <f t="shared" ca="1" si="0"/>
        <v>216</v>
      </c>
      <c r="H20" s="59"/>
      <c r="I20" s="58">
        <f t="shared" ca="1" si="1"/>
        <v>75</v>
      </c>
      <c r="J20" s="60"/>
      <c r="K20" s="61">
        <v>50</v>
      </c>
      <c r="L20" s="62"/>
    </row>
    <row r="21" spans="1:12">
      <c r="A21" s="57">
        <v>45614</v>
      </c>
      <c r="B21" s="56" t="s">
        <v>780</v>
      </c>
      <c r="C21" s="56" t="s">
        <v>761</v>
      </c>
      <c r="D21" s="56" t="s">
        <v>371</v>
      </c>
      <c r="E21" s="56">
        <v>75</v>
      </c>
      <c r="F21" s="56">
        <v>100</v>
      </c>
      <c r="G21" s="58">
        <f t="shared" ca="1" si="0"/>
        <v>435</v>
      </c>
      <c r="H21" s="59"/>
      <c r="I21" s="58">
        <f t="shared" ca="1" si="1"/>
        <v>55</v>
      </c>
      <c r="J21" s="60"/>
      <c r="K21" s="61">
        <v>88</v>
      </c>
      <c r="L21" s="62"/>
    </row>
    <row r="22" spans="1:12">
      <c r="A22" s="57">
        <v>45615</v>
      </c>
      <c r="B22" s="56" t="s">
        <v>778</v>
      </c>
      <c r="C22" s="56" t="s">
        <v>760</v>
      </c>
      <c r="D22" s="56" t="s">
        <v>792</v>
      </c>
      <c r="E22" s="56">
        <v>66</v>
      </c>
      <c r="F22" s="56">
        <v>95</v>
      </c>
      <c r="G22" s="58">
        <f ca="1">IFERROR(VLOOKUP(D22,INDIRECT(B22&amp;"!A1:C200"),2,0),"")</f>
        <v>476.9</v>
      </c>
      <c r="H22" s="59"/>
      <c r="I22" s="58">
        <f t="shared" ca="1" si="1"/>
        <v>75</v>
      </c>
      <c r="J22" s="60"/>
      <c r="K22" s="61">
        <v>69</v>
      </c>
      <c r="L22" s="62"/>
    </row>
    <row r="23" spans="1:12">
      <c r="A23" s="57">
        <v>45626</v>
      </c>
      <c r="B23" s="56" t="s">
        <v>782</v>
      </c>
      <c r="C23" s="56" t="s">
        <v>763</v>
      </c>
      <c r="D23" s="56" t="s">
        <v>781</v>
      </c>
      <c r="E23" s="56">
        <v>90</v>
      </c>
      <c r="F23" s="56">
        <v>55</v>
      </c>
      <c r="G23" s="58" t="str">
        <f ca="1">IFERROR(VLOOKUP(D23,INDIRECT(B23&amp;"!A1:C200"),2,0),"")</f>
        <v/>
      </c>
      <c r="H23" s="59">
        <v>300</v>
      </c>
      <c r="I23" s="58" t="str">
        <f t="shared" ca="1" si="1"/>
        <v/>
      </c>
      <c r="J23" s="60">
        <v>35</v>
      </c>
      <c r="K23" s="61">
        <v>50</v>
      </c>
      <c r="L23" s="62"/>
    </row>
    <row r="24" spans="1:12">
      <c r="A24" s="57">
        <v>45625</v>
      </c>
      <c r="B24" s="56" t="s">
        <v>767</v>
      </c>
      <c r="C24" s="56" t="s">
        <v>60</v>
      </c>
      <c r="D24" s="56" t="s">
        <v>794</v>
      </c>
      <c r="E24" s="56">
        <v>100</v>
      </c>
      <c r="F24" s="56">
        <v>60</v>
      </c>
      <c r="G24" s="58">
        <f ca="1">IFERROR(VLOOKUP(D24,INDIRECT(B24&amp;"!A1:C200"),2,0),"")</f>
        <v>345</v>
      </c>
      <c r="H24" s="59"/>
      <c r="I24" s="58">
        <f t="shared" ca="1" si="1"/>
        <v>70</v>
      </c>
      <c r="J24" s="60"/>
      <c r="K24" s="61">
        <v>49</v>
      </c>
      <c r="L24" s="62"/>
    </row>
    <row r="25" spans="1:12">
      <c r="A25" s="57">
        <v>45624</v>
      </c>
      <c r="B25" s="56" t="s">
        <v>776</v>
      </c>
      <c r="C25" s="56" t="s">
        <v>760</v>
      </c>
      <c r="D25" s="56" t="s">
        <v>793</v>
      </c>
      <c r="E25" s="56">
        <v>90</v>
      </c>
      <c r="F25" s="56">
        <v>75</v>
      </c>
      <c r="G25" s="58">
        <f t="shared" ref="G25:G35" ca="1" si="2">IFERROR(VLOOKUP(D25,INDIRECT(B25&amp;"!A1:C200"),2,0),"")</f>
        <v>1171.3</v>
      </c>
      <c r="H25" s="59"/>
      <c r="I25" s="58">
        <f t="shared" ca="1" si="1"/>
        <v>210</v>
      </c>
      <c r="J25" s="60"/>
      <c r="K25" s="61">
        <v>109</v>
      </c>
      <c r="L25" s="62"/>
    </row>
    <row r="26" spans="1:12">
      <c r="A26" s="57">
        <v>45623</v>
      </c>
      <c r="B26" s="56" t="s">
        <v>776</v>
      </c>
      <c r="C26" s="56" t="s">
        <v>761</v>
      </c>
      <c r="D26" s="56" t="s">
        <v>795</v>
      </c>
      <c r="E26" s="56">
        <v>92</v>
      </c>
      <c r="F26" s="56">
        <v>80</v>
      </c>
      <c r="G26" s="58">
        <f t="shared" ca="1" si="2"/>
        <v>928.59999999999991</v>
      </c>
      <c r="H26" s="59"/>
      <c r="I26" s="58">
        <f t="shared" ca="1" si="1"/>
        <v>210</v>
      </c>
      <c r="J26" s="60"/>
      <c r="K26" s="61">
        <v>94</v>
      </c>
      <c r="L26" s="62"/>
    </row>
    <row r="27" spans="1:12">
      <c r="A27" s="57">
        <v>45622</v>
      </c>
      <c r="B27" s="56" t="s">
        <v>782</v>
      </c>
      <c r="C27" s="56" t="s">
        <v>763</v>
      </c>
      <c r="D27" s="56" t="s">
        <v>784</v>
      </c>
      <c r="E27" s="56">
        <v>93</v>
      </c>
      <c r="F27" s="56">
        <v>40</v>
      </c>
      <c r="G27" s="58" t="str">
        <f t="shared" ca="1" si="2"/>
        <v/>
      </c>
      <c r="H27" s="59">
        <v>450</v>
      </c>
      <c r="I27" s="58" t="str">
        <f t="shared" ca="1" si="1"/>
        <v/>
      </c>
      <c r="J27" s="60">
        <v>35</v>
      </c>
      <c r="K27" s="61">
        <v>57</v>
      </c>
      <c r="L27" s="62"/>
    </row>
    <row r="28" spans="1:12">
      <c r="A28" s="57">
        <v>45621</v>
      </c>
      <c r="B28" s="56" t="s">
        <v>778</v>
      </c>
      <c r="C28" s="56" t="s">
        <v>760</v>
      </c>
      <c r="D28" s="56" t="s">
        <v>779</v>
      </c>
      <c r="E28" s="56">
        <v>95</v>
      </c>
      <c r="F28" s="56">
        <v>100</v>
      </c>
      <c r="G28" s="58">
        <f t="shared" ca="1" si="2"/>
        <v>478.2</v>
      </c>
      <c r="H28" s="59"/>
      <c r="I28" s="58">
        <f t="shared" ca="1" si="1"/>
        <v>75</v>
      </c>
      <c r="J28" s="60"/>
      <c r="K28" s="61">
        <v>105</v>
      </c>
      <c r="L28" s="62"/>
    </row>
    <row r="29" spans="1:12">
      <c r="A29" s="57">
        <v>45620</v>
      </c>
      <c r="B29" s="56" t="s">
        <v>759</v>
      </c>
      <c r="C29" s="56" t="s">
        <v>760</v>
      </c>
      <c r="D29" s="56" t="s">
        <v>107</v>
      </c>
      <c r="E29" s="56">
        <v>61</v>
      </c>
      <c r="F29" s="56">
        <v>100</v>
      </c>
      <c r="G29" s="58">
        <f t="shared" ca="1" si="2"/>
        <v>600</v>
      </c>
      <c r="H29" s="59"/>
      <c r="I29" s="58">
        <f t="shared" ca="1" si="1"/>
        <v>220</v>
      </c>
      <c r="J29" s="60"/>
      <c r="K29" s="61">
        <v>49</v>
      </c>
      <c r="L29" s="62"/>
    </row>
    <row r="30" spans="1:12">
      <c r="A30" s="57">
        <v>45619</v>
      </c>
      <c r="B30" s="56" t="s">
        <v>767</v>
      </c>
      <c r="C30" s="56" t="s">
        <v>60</v>
      </c>
      <c r="D30" s="56" t="s">
        <v>794</v>
      </c>
      <c r="E30" s="56">
        <v>81</v>
      </c>
      <c r="F30" s="56">
        <v>90</v>
      </c>
      <c r="G30" s="58">
        <f t="shared" ca="1" si="2"/>
        <v>345</v>
      </c>
      <c r="H30" s="59"/>
      <c r="I30" s="58">
        <f t="shared" ca="1" si="1"/>
        <v>70</v>
      </c>
      <c r="J30" s="60"/>
      <c r="K30" s="61">
        <v>60</v>
      </c>
      <c r="L30" s="62"/>
    </row>
    <row r="31" spans="1:12">
      <c r="A31" s="57">
        <v>45618</v>
      </c>
      <c r="B31" s="56" t="s">
        <v>782</v>
      </c>
      <c r="C31" s="56" t="s">
        <v>761</v>
      </c>
      <c r="D31" s="56" t="s">
        <v>783</v>
      </c>
      <c r="E31" s="56">
        <v>82</v>
      </c>
      <c r="F31" s="56">
        <v>95</v>
      </c>
      <c r="G31" s="58" t="str">
        <f t="shared" ca="1" si="2"/>
        <v/>
      </c>
      <c r="H31" s="59">
        <v>500</v>
      </c>
      <c r="I31" s="58" t="str">
        <f t="shared" ca="1" si="1"/>
        <v/>
      </c>
      <c r="J31" s="60">
        <v>150</v>
      </c>
      <c r="K31" s="61">
        <v>64</v>
      </c>
      <c r="L31" s="62"/>
    </row>
    <row r="32" spans="1:12">
      <c r="A32" s="57">
        <v>45617</v>
      </c>
      <c r="B32" s="56" t="s">
        <v>778</v>
      </c>
      <c r="C32" s="56" t="s">
        <v>760</v>
      </c>
      <c r="D32" s="56" t="s">
        <v>796</v>
      </c>
      <c r="E32" s="56">
        <v>83</v>
      </c>
      <c r="F32" s="56">
        <v>100</v>
      </c>
      <c r="G32" s="58">
        <f t="shared" ca="1" si="2"/>
        <v>508</v>
      </c>
      <c r="H32" s="59"/>
      <c r="I32" s="58">
        <f t="shared" ca="1" si="1"/>
        <v>70</v>
      </c>
      <c r="J32" s="60"/>
      <c r="K32" s="61">
        <v>101</v>
      </c>
      <c r="L32" s="62"/>
    </row>
    <row r="33" spans="1:12">
      <c r="A33" s="57">
        <v>45622</v>
      </c>
      <c r="B33" s="56" t="s">
        <v>764</v>
      </c>
      <c r="C33" s="56" t="s">
        <v>761</v>
      </c>
      <c r="D33" s="56" t="s">
        <v>797</v>
      </c>
      <c r="E33" s="56">
        <v>84</v>
      </c>
      <c r="F33" s="56">
        <v>100</v>
      </c>
      <c r="G33" s="58">
        <f t="shared" ca="1" si="2"/>
        <v>321.39999999999998</v>
      </c>
      <c r="H33" s="59"/>
      <c r="I33" s="58">
        <f t="shared" ca="1" si="1"/>
        <v>70</v>
      </c>
      <c r="J33" s="60"/>
      <c r="K33" s="61">
        <v>65</v>
      </c>
      <c r="L33" s="62"/>
    </row>
    <row r="34" spans="1:12">
      <c r="A34" s="57">
        <v>45612</v>
      </c>
      <c r="B34" s="56" t="s">
        <v>762</v>
      </c>
      <c r="C34" s="56" t="s">
        <v>763</v>
      </c>
      <c r="D34" s="56" t="s">
        <v>567</v>
      </c>
      <c r="E34" s="56">
        <v>86</v>
      </c>
      <c r="F34" s="56">
        <v>100</v>
      </c>
      <c r="G34" s="58">
        <f t="shared" ca="1" si="2"/>
        <v>249</v>
      </c>
      <c r="H34" s="59"/>
      <c r="I34" s="58">
        <f t="shared" ca="1" si="1"/>
        <v>56</v>
      </c>
      <c r="J34" s="60"/>
      <c r="K34" s="61">
        <v>57</v>
      </c>
      <c r="L34" s="62"/>
    </row>
    <row r="35" spans="1:12">
      <c r="A35" s="57">
        <v>45613</v>
      </c>
      <c r="B35" s="56" t="s">
        <v>776</v>
      </c>
      <c r="C35" s="56" t="s">
        <v>760</v>
      </c>
      <c r="D35" s="56" t="s">
        <v>798</v>
      </c>
      <c r="E35" s="56">
        <v>88</v>
      </c>
      <c r="F35" s="56">
        <v>100</v>
      </c>
      <c r="G35" s="58">
        <f t="shared" ca="1" si="2"/>
        <v>879.5</v>
      </c>
      <c r="H35" s="59"/>
      <c r="I35" s="58">
        <f t="shared" ca="1" si="1"/>
        <v>210</v>
      </c>
      <c r="J35" s="60"/>
      <c r="K35" s="61">
        <v>107</v>
      </c>
      <c r="L35" s="62"/>
    </row>
    <row r="36" spans="1:12">
      <c r="A36" s="57">
        <v>45614</v>
      </c>
      <c r="B36" s="56" t="s">
        <v>778</v>
      </c>
      <c r="C36" s="56" t="s">
        <v>60</v>
      </c>
      <c r="D36" s="56" t="s">
        <v>799</v>
      </c>
      <c r="E36" s="56">
        <v>89</v>
      </c>
      <c r="F36" s="56">
        <v>100</v>
      </c>
      <c r="G36" s="58">
        <f ca="1">IFERROR(VLOOKUP(D36,INDIRECT(B36&amp;"!A1:C200"),2,0),"")</f>
        <v>471.5</v>
      </c>
      <c r="H36" s="59"/>
      <c r="I36" s="58">
        <f t="shared" ca="1" si="1"/>
        <v>65</v>
      </c>
      <c r="J36" s="60"/>
      <c r="K36" s="61">
        <v>104</v>
      </c>
      <c r="L36" s="62"/>
    </row>
    <row r="37" spans="1:12">
      <c r="A37" s="57">
        <v>45615</v>
      </c>
      <c r="B37" s="56" t="s">
        <v>782</v>
      </c>
      <c r="C37" s="56" t="s">
        <v>763</v>
      </c>
      <c r="D37" s="56" t="s">
        <v>785</v>
      </c>
      <c r="E37" s="56">
        <v>91</v>
      </c>
      <c r="F37" s="56">
        <v>55</v>
      </c>
      <c r="G37" s="58" t="str">
        <f t="shared" ref="G37:G39" ca="1" si="3">IFERROR(VLOOKUP(D37,INDIRECT(B37&amp;"!A1:C200"),2,0),"")</f>
        <v/>
      </c>
      <c r="H37" s="59">
        <v>300</v>
      </c>
      <c r="I37" s="58" t="str">
        <f t="shared" ca="1" si="1"/>
        <v/>
      </c>
      <c r="J37" s="60">
        <v>45</v>
      </c>
      <c r="K37" s="61">
        <v>45</v>
      </c>
      <c r="L37" s="62"/>
    </row>
    <row r="38" spans="1:12">
      <c r="A38" s="57">
        <v>45616</v>
      </c>
      <c r="B38" s="56" t="s">
        <v>782</v>
      </c>
      <c r="C38" s="56" t="s">
        <v>763</v>
      </c>
      <c r="D38" s="56" t="s">
        <v>786</v>
      </c>
      <c r="E38" s="56">
        <v>93</v>
      </c>
      <c r="F38" s="56">
        <v>35</v>
      </c>
      <c r="G38" s="58" t="str">
        <f t="shared" ca="1" si="3"/>
        <v/>
      </c>
      <c r="H38" s="59">
        <v>500</v>
      </c>
      <c r="I38" s="58" t="str">
        <f t="shared" ca="1" si="1"/>
        <v/>
      </c>
      <c r="J38" s="60">
        <v>70</v>
      </c>
      <c r="K38" s="61">
        <v>39</v>
      </c>
      <c r="L38" s="62"/>
    </row>
    <row r="39" spans="1:12">
      <c r="A39" s="57">
        <v>45617</v>
      </c>
      <c r="B39" s="56" t="s">
        <v>782</v>
      </c>
      <c r="C39" s="56" t="s">
        <v>761</v>
      </c>
      <c r="D39" s="56" t="s">
        <v>787</v>
      </c>
      <c r="E39" s="56">
        <v>100</v>
      </c>
      <c r="F39" s="56">
        <v>100</v>
      </c>
      <c r="G39" s="58" t="str">
        <f t="shared" ca="1" si="3"/>
        <v/>
      </c>
      <c r="H39" s="59">
        <v>1300</v>
      </c>
      <c r="I39" s="58" t="str">
        <f t="shared" ca="1" si="1"/>
        <v/>
      </c>
      <c r="J39" s="60">
        <v>800</v>
      </c>
      <c r="K39" s="61">
        <v>92</v>
      </c>
      <c r="L39" s="62"/>
    </row>
    <row r="40" spans="1:12">
      <c r="A40" s="57">
        <v>45618</v>
      </c>
      <c r="B40" s="56" t="s">
        <v>767</v>
      </c>
      <c r="C40" s="56" t="s">
        <v>763</v>
      </c>
      <c r="D40" s="56" t="s">
        <v>800</v>
      </c>
      <c r="E40" s="56">
        <v>20</v>
      </c>
      <c r="F40" s="56">
        <v>80</v>
      </c>
      <c r="G40" s="58">
        <f ca="1">IFERROR(VLOOKUP(D40,INDIRECT(B40&amp;"!A1:C200"),2,0),"")</f>
        <v>194.6</v>
      </c>
      <c r="H40" s="59"/>
      <c r="I40" s="58">
        <f t="shared" ca="1" si="1"/>
        <v>70</v>
      </c>
      <c r="J40" s="60"/>
      <c r="K40" s="61">
        <v>7</v>
      </c>
      <c r="L40" s="62"/>
    </row>
    <row r="41" spans="1:12">
      <c r="A41" s="57">
        <v>45621</v>
      </c>
      <c r="B41" s="56" t="s">
        <v>780</v>
      </c>
      <c r="C41" s="56" t="s">
        <v>761</v>
      </c>
      <c r="D41" s="56" t="s">
        <v>369</v>
      </c>
      <c r="E41" s="56">
        <v>35</v>
      </c>
      <c r="F41" s="56">
        <v>30</v>
      </c>
      <c r="G41" s="58">
        <f t="shared" ref="G41:G57" ca="1" si="4">IFERROR(VLOOKUP(D41,INDIRECT(B41&amp;"!A1:C200"),2,0),"")</f>
        <v>424</v>
      </c>
      <c r="H41" s="59"/>
      <c r="I41" s="58">
        <f t="shared" ca="1" si="1"/>
        <v>55</v>
      </c>
      <c r="J41" s="60"/>
      <c r="K41" s="61">
        <v>12</v>
      </c>
      <c r="L41" s="62"/>
    </row>
    <row r="42" spans="1:12">
      <c r="A42" s="57">
        <v>45622</v>
      </c>
      <c r="B42" s="56" t="s">
        <v>759</v>
      </c>
      <c r="C42" s="56" t="s">
        <v>760</v>
      </c>
      <c r="D42" s="56" t="s">
        <v>110</v>
      </c>
      <c r="E42" s="56">
        <v>40</v>
      </c>
      <c r="F42" s="56">
        <v>50</v>
      </c>
      <c r="G42" s="58">
        <f t="shared" ca="1" si="4"/>
        <v>700</v>
      </c>
      <c r="H42" s="59"/>
      <c r="I42" s="58">
        <f t="shared" ca="1" si="1"/>
        <v>220</v>
      </c>
      <c r="J42" s="60"/>
      <c r="K42" s="61">
        <v>19</v>
      </c>
      <c r="L42" s="62"/>
    </row>
    <row r="43" spans="1:12">
      <c r="A43" s="57">
        <v>45597</v>
      </c>
      <c r="B43" s="56" t="s">
        <v>778</v>
      </c>
      <c r="C43" s="56" t="s">
        <v>763</v>
      </c>
      <c r="D43" s="56" t="s">
        <v>801</v>
      </c>
      <c r="E43" s="56">
        <v>55</v>
      </c>
      <c r="F43" s="56">
        <v>70</v>
      </c>
      <c r="G43" s="58">
        <f t="shared" ca="1" si="4"/>
        <v>357.2</v>
      </c>
      <c r="H43" s="59"/>
      <c r="I43" s="58">
        <f t="shared" ca="1" si="1"/>
        <v>65</v>
      </c>
      <c r="J43" s="60"/>
      <c r="K43" s="61">
        <v>34</v>
      </c>
      <c r="L43" s="62"/>
    </row>
    <row r="44" spans="1:12">
      <c r="A44" s="57">
        <v>45604</v>
      </c>
      <c r="B44" s="56" t="s">
        <v>778</v>
      </c>
      <c r="C44" s="56" t="s">
        <v>761</v>
      </c>
      <c r="D44" s="56" t="s">
        <v>779</v>
      </c>
      <c r="E44" s="56">
        <v>60</v>
      </c>
      <c r="F44" s="56">
        <v>76</v>
      </c>
      <c r="G44" s="58">
        <f t="shared" ca="1" si="4"/>
        <v>478.2</v>
      </c>
      <c r="H44" s="59"/>
      <c r="I44" s="58">
        <f t="shared" ca="1" si="1"/>
        <v>75</v>
      </c>
      <c r="J44" s="60"/>
      <c r="K44" s="61">
        <v>50</v>
      </c>
      <c r="L44" s="62"/>
    </row>
    <row r="45" spans="1:12">
      <c r="A45" s="57">
        <v>45605</v>
      </c>
      <c r="B45" s="56" t="s">
        <v>776</v>
      </c>
      <c r="C45" s="56" t="s">
        <v>760</v>
      </c>
      <c r="D45" s="56" t="s">
        <v>803</v>
      </c>
      <c r="E45" s="56">
        <v>80</v>
      </c>
      <c r="F45" s="56">
        <v>75</v>
      </c>
      <c r="G45" s="58">
        <f t="shared" ca="1" si="4"/>
        <v>1020.9</v>
      </c>
      <c r="H45" s="59"/>
      <c r="I45" s="58">
        <f t="shared" ca="1" si="1"/>
        <v>250</v>
      </c>
      <c r="J45" s="60"/>
      <c r="K45" s="61">
        <v>77</v>
      </c>
      <c r="L45" s="62"/>
    </row>
    <row r="46" spans="1:12">
      <c r="A46" s="57">
        <v>45616</v>
      </c>
      <c r="B46" s="56" t="s">
        <v>788</v>
      </c>
      <c r="C46" s="56" t="s">
        <v>760</v>
      </c>
      <c r="D46" s="56" t="s">
        <v>802</v>
      </c>
      <c r="E46" s="56">
        <v>87</v>
      </c>
      <c r="F46" s="56">
        <v>73</v>
      </c>
      <c r="G46" s="58">
        <f t="shared" ca="1" si="4"/>
        <v>779.94</v>
      </c>
      <c r="H46" s="59"/>
      <c r="I46" s="58">
        <f t="shared" ca="1" si="1"/>
        <v>135</v>
      </c>
      <c r="J46" s="60"/>
      <c r="K46" s="61">
        <v>85</v>
      </c>
      <c r="L46" s="62"/>
    </row>
    <row r="47" spans="1:12">
      <c r="A47" s="57">
        <v>45617</v>
      </c>
      <c r="B47" s="56" t="s">
        <v>788</v>
      </c>
      <c r="C47" s="56" t="s">
        <v>761</v>
      </c>
      <c r="D47" s="56" t="s">
        <v>804</v>
      </c>
      <c r="E47" s="56">
        <v>88</v>
      </c>
      <c r="F47" s="56">
        <v>72</v>
      </c>
      <c r="G47" s="58">
        <f t="shared" ca="1" si="4"/>
        <v>528.62</v>
      </c>
      <c r="H47" s="59"/>
      <c r="I47" s="58">
        <f t="shared" ca="1" si="1"/>
        <v>79</v>
      </c>
      <c r="J47" s="60"/>
      <c r="K47" s="61">
        <v>75</v>
      </c>
      <c r="L47" s="62"/>
    </row>
    <row r="48" spans="1:12">
      <c r="A48" s="57">
        <v>45618</v>
      </c>
      <c r="B48" s="56" t="s">
        <v>776</v>
      </c>
      <c r="C48" s="56" t="s">
        <v>760</v>
      </c>
      <c r="D48" s="56" t="s">
        <v>793</v>
      </c>
      <c r="E48" s="56">
        <v>89</v>
      </c>
      <c r="F48" s="56">
        <v>81</v>
      </c>
      <c r="G48" s="58">
        <f t="shared" ca="1" si="4"/>
        <v>1171.3</v>
      </c>
      <c r="H48" s="59"/>
      <c r="I48" s="58">
        <f t="shared" ca="1" si="1"/>
        <v>210</v>
      </c>
      <c r="J48" s="60"/>
      <c r="K48" s="61">
        <v>117</v>
      </c>
      <c r="L48" s="62"/>
    </row>
    <row r="49" spans="1:12">
      <c r="A49" s="57">
        <v>45605</v>
      </c>
      <c r="B49" s="56" t="s">
        <v>762</v>
      </c>
      <c r="C49" s="56" t="s">
        <v>763</v>
      </c>
      <c r="D49" s="56" t="s">
        <v>805</v>
      </c>
      <c r="E49" s="56">
        <v>91</v>
      </c>
      <c r="F49" s="56">
        <v>90</v>
      </c>
      <c r="G49" s="58">
        <f t="shared" ca="1" si="4"/>
        <v>427</v>
      </c>
      <c r="H49" s="59"/>
      <c r="I49" s="58">
        <f t="shared" ca="1" si="1"/>
        <v>65</v>
      </c>
      <c r="J49" s="60"/>
      <c r="K49" s="61">
        <v>87</v>
      </c>
      <c r="L49" s="62"/>
    </row>
    <row r="50" spans="1:12">
      <c r="A50" s="57">
        <v>45606</v>
      </c>
      <c r="B50" s="56" t="s">
        <v>762</v>
      </c>
      <c r="C50" s="56" t="s">
        <v>763</v>
      </c>
      <c r="D50" s="56" t="s">
        <v>806</v>
      </c>
      <c r="E50" s="56">
        <v>93</v>
      </c>
      <c r="F50" s="56">
        <v>55</v>
      </c>
      <c r="G50" s="58">
        <f t="shared" ca="1" si="4"/>
        <v>212</v>
      </c>
      <c r="H50" s="59"/>
      <c r="I50" s="58">
        <f t="shared" ca="1" si="1"/>
        <v>65</v>
      </c>
      <c r="J50" s="60"/>
      <c r="K50" s="61">
        <v>27</v>
      </c>
      <c r="L50" s="62"/>
    </row>
    <row r="51" spans="1:12">
      <c r="A51" s="57">
        <v>45619</v>
      </c>
      <c r="B51" s="56" t="s">
        <v>759</v>
      </c>
      <c r="C51" s="56" t="s">
        <v>760</v>
      </c>
      <c r="D51" s="56" t="s">
        <v>113</v>
      </c>
      <c r="E51" s="56">
        <v>95</v>
      </c>
      <c r="F51" s="56">
        <v>90</v>
      </c>
      <c r="G51" s="58">
        <f t="shared" ca="1" si="4"/>
        <v>450</v>
      </c>
      <c r="H51" s="59"/>
      <c r="I51" s="58">
        <f t="shared" ca="1" si="1"/>
        <v>160</v>
      </c>
      <c r="J51" s="60"/>
      <c r="K51" s="61">
        <v>61</v>
      </c>
      <c r="L51" s="62"/>
    </row>
    <row r="52" spans="1:12">
      <c r="A52" s="57">
        <v>45621</v>
      </c>
      <c r="B52" s="56" t="s">
        <v>762</v>
      </c>
      <c r="C52" s="56" t="s">
        <v>763</v>
      </c>
      <c r="D52" s="56" t="s">
        <v>807</v>
      </c>
      <c r="E52" s="56">
        <v>92</v>
      </c>
      <c r="F52" s="56">
        <v>96</v>
      </c>
      <c r="G52" s="58">
        <f t="shared" ca="1" si="4"/>
        <v>297</v>
      </c>
      <c r="H52" s="59"/>
      <c r="I52" s="58">
        <f t="shared" ca="1" si="1"/>
        <v>35</v>
      </c>
      <c r="J52" s="60"/>
      <c r="K52" s="61">
        <v>89</v>
      </c>
      <c r="L52" s="62"/>
    </row>
    <row r="53" spans="1:12">
      <c r="A53" s="57">
        <v>45610</v>
      </c>
      <c r="B53" s="56" t="s">
        <v>764</v>
      </c>
      <c r="C53" s="56" t="s">
        <v>60</v>
      </c>
      <c r="D53" s="56" t="s">
        <v>797</v>
      </c>
      <c r="E53" s="56">
        <v>100</v>
      </c>
      <c r="F53" s="56">
        <v>93</v>
      </c>
      <c r="G53" s="58">
        <f t="shared" ca="1" si="4"/>
        <v>321.39999999999998</v>
      </c>
      <c r="H53" s="59"/>
      <c r="I53" s="58">
        <f t="shared" ca="1" si="1"/>
        <v>70</v>
      </c>
      <c r="J53" s="60"/>
      <c r="K53" s="61">
        <v>71</v>
      </c>
      <c r="L53" s="62"/>
    </row>
    <row r="54" spans="1:12">
      <c r="A54" s="57">
        <v>45612</v>
      </c>
      <c r="B54" s="56" t="s">
        <v>767</v>
      </c>
      <c r="C54" s="56" t="s">
        <v>763</v>
      </c>
      <c r="D54" s="56" t="s">
        <v>770</v>
      </c>
      <c r="E54" s="56">
        <v>100</v>
      </c>
      <c r="F54" s="56">
        <v>92</v>
      </c>
      <c r="G54" s="58">
        <f t="shared" ca="1" si="4"/>
        <v>355</v>
      </c>
      <c r="H54" s="59"/>
      <c r="I54" s="58">
        <f t="shared" ca="1" si="1"/>
        <v>90</v>
      </c>
      <c r="J54" s="60"/>
      <c r="K54" s="61">
        <v>69</v>
      </c>
      <c r="L54" s="62"/>
    </row>
    <row r="55" spans="1:12">
      <c r="A55" s="57">
        <v>45614</v>
      </c>
      <c r="B55" s="56" t="s">
        <v>780</v>
      </c>
      <c r="C55" s="56" t="s">
        <v>761</v>
      </c>
      <c r="D55" s="56" t="s">
        <v>367</v>
      </c>
      <c r="E55" s="56">
        <v>100</v>
      </c>
      <c r="F55" s="56">
        <v>88</v>
      </c>
      <c r="G55" s="58">
        <f t="shared" ca="1" si="4"/>
        <v>362</v>
      </c>
      <c r="H55" s="59"/>
      <c r="I55" s="58">
        <f t="shared" ca="1" si="1"/>
        <v>50</v>
      </c>
      <c r="J55" s="60"/>
      <c r="K55" s="61">
        <v>90</v>
      </c>
      <c r="L55" s="62"/>
    </row>
    <row r="56" spans="1:12">
      <c r="A56" s="57">
        <v>45615</v>
      </c>
      <c r="B56" s="56" t="s">
        <v>759</v>
      </c>
      <c r="C56" s="56" t="s">
        <v>760</v>
      </c>
      <c r="D56" s="56" t="s">
        <v>104</v>
      </c>
      <c r="E56" s="56">
        <v>95</v>
      </c>
      <c r="F56" s="56">
        <v>100</v>
      </c>
      <c r="G56" s="58">
        <f t="shared" ca="1" si="4"/>
        <v>500</v>
      </c>
      <c r="H56" s="59"/>
      <c r="I56" s="58">
        <f t="shared" ca="1" si="1"/>
        <v>230</v>
      </c>
      <c r="J56" s="60"/>
      <c r="K56" s="61">
        <v>63</v>
      </c>
      <c r="L56" s="62"/>
    </row>
    <row r="57" spans="1:12">
      <c r="A57" s="57">
        <v>45616</v>
      </c>
      <c r="B57" s="56" t="s">
        <v>788</v>
      </c>
      <c r="C57" s="56" t="s">
        <v>760</v>
      </c>
      <c r="D57" s="56" t="s">
        <v>808</v>
      </c>
      <c r="E57" s="56">
        <v>96</v>
      </c>
      <c r="F57" s="56">
        <v>100</v>
      </c>
      <c r="G57" s="58">
        <f t="shared" ca="1" si="4"/>
        <v>475</v>
      </c>
      <c r="H57" s="59"/>
      <c r="I57" s="58">
        <f t="shared" ca="1" si="1"/>
        <v>75</v>
      </c>
      <c r="J57" s="60"/>
      <c r="K57" s="61">
        <v>105</v>
      </c>
      <c r="L57" s="62"/>
    </row>
    <row r="58" spans="1:12" ht="16.5" thickBot="1">
      <c r="A58" s="72">
        <v>45621</v>
      </c>
      <c r="B58" s="63" t="s">
        <v>782</v>
      </c>
      <c r="C58" s="63" t="s">
        <v>763</v>
      </c>
      <c r="D58" s="63" t="s">
        <v>789</v>
      </c>
      <c r="E58" s="63">
        <v>100</v>
      </c>
      <c r="F58" s="63">
        <v>100</v>
      </c>
      <c r="G58" s="64"/>
      <c r="H58" s="64">
        <v>1000</v>
      </c>
      <c r="I58" s="65"/>
      <c r="J58" s="66">
        <v>350</v>
      </c>
      <c r="K58" s="67">
        <v>107</v>
      </c>
      <c r="L58" s="68"/>
    </row>
    <row r="59" spans="1:12">
      <c r="B59" s="77" t="s">
        <v>756</v>
      </c>
      <c r="F59" s="73">
        <f>SUM(F2:F58)</f>
        <v>4756</v>
      </c>
      <c r="G59" s="74">
        <f ca="1">SUM(G2:H58)</f>
        <v>29565.56</v>
      </c>
      <c r="H59" s="75"/>
      <c r="I59" s="74">
        <f ca="1">SUM(I2:J58)</f>
        <v>7102</v>
      </c>
      <c r="J59" s="75"/>
      <c r="K59" s="75">
        <f>SUM(K2:K58)</f>
        <v>3847</v>
      </c>
    </row>
    <row r="61" spans="1:12">
      <c r="B61" s="76" t="s">
        <v>775</v>
      </c>
    </row>
    <row r="62" spans="1:12">
      <c r="B62" s="70">
        <v>10000</v>
      </c>
      <c r="G62" s="69" t="s">
        <v>774</v>
      </c>
      <c r="I62" s="69" t="s">
        <v>774</v>
      </c>
    </row>
    <row r="63" spans="1:12">
      <c r="G63" s="69" t="s">
        <v>774</v>
      </c>
      <c r="I63" s="69" t="s">
        <v>774</v>
      </c>
    </row>
    <row r="67" spans="5:9">
      <c r="E67" s="71"/>
    </row>
    <row r="68" spans="5:9">
      <c r="G68" s="69" t="s">
        <v>774</v>
      </c>
      <c r="I68" s="69" t="s">
        <v>774</v>
      </c>
    </row>
  </sheetData>
  <phoneticPr fontId="2" type="noConversion"/>
  <conditionalFormatting sqref="K2:K58">
    <cfRule type="colorScale" priority="1">
      <colorScale>
        <cfvo type="min"/>
        <cfvo type="max"/>
        <color rgb="FFFCFCFF"/>
        <color rgb="FF63BE7B"/>
      </colorScale>
    </cfRule>
  </conditionalFormatting>
  <conditionalFormatting sqref="K2:K51">
    <cfRule type="colorScale" priority="2">
      <colorScale>
        <cfvo type="min"/>
        <cfvo type="max"/>
        <color rgb="FFFCFCFF"/>
        <color rgb="FF63BE7B"/>
      </colorScale>
    </cfRule>
  </conditionalFormatting>
  <dataValidations count="3">
    <dataValidation type="list" allowBlank="1" showInputMessage="1" showErrorMessage="1" sqref="C2:C58" xr:uid="{0225FE3A-C7A0-447B-BD3D-DD1028C3D650}">
      <formula1>INDIRECT(B2)</formula1>
    </dataValidation>
    <dataValidation type="list" allowBlank="1" showInputMessage="1" sqref="D2:D58" xr:uid="{F37ECF67-5EAC-41B0-B0EF-067B26E31E71}">
      <formula1>INDIRECT(B2&amp;C2)</formula1>
    </dataValidation>
    <dataValidation type="list" allowBlank="1" showInputMessage="1" showErrorMessage="1" sqref="B2:B58" xr:uid="{380682F9-F604-45DF-ACD3-3956B49A4D95}">
      <formula1>商家列表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calculate_month">
                <anchor moveWithCells="1" sizeWithCells="1">
                  <from>
                    <xdr:col>3</xdr:col>
                    <xdr:colOff>9525</xdr:colOff>
                    <xdr:row>63</xdr:row>
                    <xdr:rowOff>23813</xdr:rowOff>
                  </from>
                  <to>
                    <xdr:col>4</xdr:col>
                    <xdr:colOff>0</xdr:colOff>
                    <xdr:row>66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eliminate_month">
                <anchor moveWithCells="1" sizeWithCells="1">
                  <from>
                    <xdr:col>5</xdr:col>
                    <xdr:colOff>14288</xdr:colOff>
                    <xdr:row>63</xdr:row>
                    <xdr:rowOff>14288</xdr:rowOff>
                  </from>
                  <to>
                    <xdr:col>5</xdr:col>
                    <xdr:colOff>838200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6" name="Button 5">
              <controlPr defaultSize="0" print="0" autoFill="0" autoPict="0" macro="[0]!suggestions_month">
                <anchor moveWithCells="1" sizeWithCells="1">
                  <from>
                    <xdr:col>3</xdr:col>
                    <xdr:colOff>23813</xdr:colOff>
                    <xdr:row>67</xdr:row>
                    <xdr:rowOff>23813</xdr:rowOff>
                  </from>
                  <to>
                    <xdr:col>3</xdr:col>
                    <xdr:colOff>1852613</xdr:colOff>
                    <xdr:row>70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F6A1-B426-47D7-BD58-142C1DA6FD6C}">
  <sheetPr codeName="工作表11"/>
  <dimension ref="A1:E12"/>
  <sheetViews>
    <sheetView workbookViewId="0">
      <selection activeCell="M24" sqref="M24"/>
    </sheetView>
  </sheetViews>
  <sheetFormatPr defaultRowHeight="16.149999999999999"/>
  <cols>
    <col min="1" max="1" width="9.86328125" bestFit="1" customWidth="1"/>
    <col min="2" max="2" width="21.19921875" bestFit="1" customWidth="1"/>
    <col min="3" max="4" width="16.53125" bestFit="1" customWidth="1"/>
    <col min="5" max="6" width="18.86328125" bestFit="1" customWidth="1"/>
  </cols>
  <sheetData>
    <row r="1" spans="1:5">
      <c r="A1" t="s">
        <v>826</v>
      </c>
    </row>
    <row r="3" spans="1:5">
      <c r="A3" s="79" t="s">
        <v>811</v>
      </c>
      <c r="B3" t="s">
        <v>820</v>
      </c>
      <c r="C3" t="s">
        <v>822</v>
      </c>
      <c r="D3" t="s">
        <v>823</v>
      </c>
      <c r="E3" t="s">
        <v>825</v>
      </c>
    </row>
    <row r="4" spans="1:5">
      <c r="A4" s="80" t="s">
        <v>764</v>
      </c>
      <c r="B4" s="81">
        <v>68.400000000000006</v>
      </c>
      <c r="C4" s="81">
        <v>78.400000000000006</v>
      </c>
      <c r="D4" s="81">
        <v>82</v>
      </c>
      <c r="E4" s="81">
        <v>56</v>
      </c>
    </row>
    <row r="5" spans="1:5">
      <c r="A5" s="80" t="s">
        <v>759</v>
      </c>
      <c r="B5" s="81">
        <v>54.375</v>
      </c>
      <c r="C5" s="81">
        <v>81.25</v>
      </c>
      <c r="D5" s="81">
        <v>88.625</v>
      </c>
      <c r="E5" s="81">
        <v>207.5</v>
      </c>
    </row>
    <row r="6" spans="1:5">
      <c r="A6" s="80" t="s">
        <v>762</v>
      </c>
      <c r="B6" s="81">
        <v>55.428571428571431</v>
      </c>
      <c r="C6" s="81">
        <v>83.714285714285708</v>
      </c>
      <c r="D6" s="81">
        <v>90.571428571428569</v>
      </c>
      <c r="E6" s="81">
        <v>58.285714285714285</v>
      </c>
    </row>
    <row r="7" spans="1:5">
      <c r="A7" s="80" t="s">
        <v>780</v>
      </c>
      <c r="B7" s="81">
        <v>61</v>
      </c>
      <c r="C7" s="81">
        <v>73.5</v>
      </c>
      <c r="D7" s="81">
        <v>79</v>
      </c>
      <c r="E7" s="81">
        <v>74.166666666666671</v>
      </c>
    </row>
    <row r="8" spans="1:5">
      <c r="A8" s="80" t="s">
        <v>788</v>
      </c>
      <c r="B8" s="81">
        <v>88.333333333333329</v>
      </c>
      <c r="C8" s="81">
        <v>90.333333333333329</v>
      </c>
      <c r="D8" s="81">
        <v>81.666666666666671</v>
      </c>
      <c r="E8" s="81">
        <v>96.333333333333329</v>
      </c>
    </row>
    <row r="9" spans="1:5">
      <c r="A9" s="80" t="s">
        <v>767</v>
      </c>
      <c r="B9" s="81">
        <v>43.571428571428569</v>
      </c>
      <c r="C9" s="81">
        <v>75.428571428571431</v>
      </c>
      <c r="D9" s="81">
        <v>86</v>
      </c>
      <c r="E9" s="81">
        <v>75</v>
      </c>
    </row>
    <row r="10" spans="1:5">
      <c r="A10" s="80" t="s">
        <v>776</v>
      </c>
      <c r="B10" s="81">
        <v>107.85714285714286</v>
      </c>
      <c r="C10" s="81">
        <v>90.571428571428569</v>
      </c>
      <c r="D10" s="81">
        <v>84.428571428571431</v>
      </c>
      <c r="E10" s="81">
        <v>215.71428571428572</v>
      </c>
    </row>
    <row r="11" spans="1:5">
      <c r="A11" s="80" t="s">
        <v>778</v>
      </c>
      <c r="B11" s="81">
        <v>76.714285714285708</v>
      </c>
      <c r="C11" s="81">
        <v>77.714285714285708</v>
      </c>
      <c r="D11" s="81">
        <v>87.285714285714292</v>
      </c>
      <c r="E11" s="81">
        <v>71.428571428571431</v>
      </c>
    </row>
    <row r="12" spans="1:5">
      <c r="A12" s="80" t="s">
        <v>812</v>
      </c>
      <c r="B12" s="81">
        <v>67.86</v>
      </c>
      <c r="C12" s="81">
        <v>80.92</v>
      </c>
      <c r="D12" s="81">
        <v>85.52</v>
      </c>
      <c r="E12" s="81">
        <v>112.34</v>
      </c>
    </row>
  </sheetData>
  <phoneticPr fontId="2" type="noConversion"/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2578F-C668-4386-BA13-24153797BE62}">
  <sheetPr codeName="工作表12"/>
  <dimension ref="A1:C13"/>
  <sheetViews>
    <sheetView workbookViewId="0"/>
  </sheetViews>
  <sheetFormatPr defaultRowHeight="16.149999999999999"/>
  <cols>
    <col min="1" max="1" width="9.86328125" bestFit="1" customWidth="1"/>
    <col min="2" max="3" width="16.53125" bestFit="1" customWidth="1"/>
  </cols>
  <sheetData>
    <row r="1" spans="1:3">
      <c r="A1" t="s">
        <v>824</v>
      </c>
    </row>
    <row r="3" spans="1:3">
      <c r="A3" s="79" t="s">
        <v>811</v>
      </c>
      <c r="B3" t="s">
        <v>822</v>
      </c>
      <c r="C3" t="s">
        <v>823</v>
      </c>
    </row>
    <row r="4" spans="1:3">
      <c r="A4" s="80" t="s">
        <v>764</v>
      </c>
      <c r="B4" s="81">
        <v>78.400000000000006</v>
      </c>
      <c r="C4" s="81">
        <v>82</v>
      </c>
    </row>
    <row r="5" spans="1:3">
      <c r="A5" s="80" t="s">
        <v>759</v>
      </c>
      <c r="B5" s="81">
        <v>81.25</v>
      </c>
      <c r="C5" s="81">
        <v>88.625</v>
      </c>
    </row>
    <row r="6" spans="1:3">
      <c r="A6" s="80" t="s">
        <v>782</v>
      </c>
      <c r="B6" s="81">
        <v>92.714285714285708</v>
      </c>
      <c r="C6" s="81">
        <v>68.571428571428569</v>
      </c>
    </row>
    <row r="7" spans="1:3">
      <c r="A7" s="80" t="s">
        <v>762</v>
      </c>
      <c r="B7" s="81">
        <v>83.714285714285708</v>
      </c>
      <c r="C7" s="81">
        <v>90.571428571428569</v>
      </c>
    </row>
    <row r="8" spans="1:3">
      <c r="A8" s="80" t="s">
        <v>780</v>
      </c>
      <c r="B8" s="81">
        <v>73.5</v>
      </c>
      <c r="C8" s="81">
        <v>79</v>
      </c>
    </row>
    <row r="9" spans="1:3">
      <c r="A9" s="80" t="s">
        <v>788</v>
      </c>
      <c r="B9" s="81">
        <v>90.333333333333329</v>
      </c>
      <c r="C9" s="81">
        <v>81.666666666666671</v>
      </c>
    </row>
    <row r="10" spans="1:3">
      <c r="A10" s="80" t="s">
        <v>767</v>
      </c>
      <c r="B10" s="81">
        <v>75.428571428571431</v>
      </c>
      <c r="C10" s="81">
        <v>86</v>
      </c>
    </row>
    <row r="11" spans="1:3">
      <c r="A11" s="80" t="s">
        <v>776</v>
      </c>
      <c r="B11" s="81">
        <v>90.571428571428569</v>
      </c>
      <c r="C11" s="81">
        <v>84.428571428571431</v>
      </c>
    </row>
    <row r="12" spans="1:3">
      <c r="A12" s="80" t="s">
        <v>778</v>
      </c>
      <c r="B12" s="81">
        <v>77.714285714285708</v>
      </c>
      <c r="C12" s="81">
        <v>87.285714285714292</v>
      </c>
    </row>
    <row r="13" spans="1:3">
      <c r="A13" s="80" t="s">
        <v>812</v>
      </c>
      <c r="B13" s="81">
        <v>82.368421052631575</v>
      </c>
      <c r="C13" s="81">
        <v>83.438596491228068</v>
      </c>
    </row>
  </sheetData>
  <phoneticPr fontId="2" type="noConversion"/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2163E-26DD-4697-BB8F-130FB814CC3D}">
  <sheetPr codeName="工作表14"/>
  <dimension ref="A1:B13"/>
  <sheetViews>
    <sheetView workbookViewId="0">
      <selection activeCell="H25" sqref="H25"/>
    </sheetView>
  </sheetViews>
  <sheetFormatPr defaultRowHeight="16.149999999999999"/>
  <cols>
    <col min="1" max="1" width="9.86328125" bestFit="1" customWidth="1"/>
    <col min="2" max="2" width="21.19921875" bestFit="1" customWidth="1"/>
  </cols>
  <sheetData>
    <row r="1" spans="1:2">
      <c r="A1" t="s">
        <v>821</v>
      </c>
    </row>
    <row r="3" spans="1:2">
      <c r="A3" s="79" t="s">
        <v>811</v>
      </c>
      <c r="B3" t="s">
        <v>820</v>
      </c>
    </row>
    <row r="4" spans="1:2">
      <c r="A4" s="80" t="s">
        <v>764</v>
      </c>
      <c r="B4" s="81">
        <v>68.400000000000006</v>
      </c>
    </row>
    <row r="5" spans="1:2">
      <c r="A5" s="80" t="s">
        <v>759</v>
      </c>
      <c r="B5" s="81">
        <v>54.375</v>
      </c>
    </row>
    <row r="6" spans="1:2">
      <c r="A6" s="80" t="s">
        <v>782</v>
      </c>
      <c r="B6" s="81">
        <v>64.857142857142861</v>
      </c>
    </row>
    <row r="7" spans="1:2">
      <c r="A7" s="80" t="s">
        <v>762</v>
      </c>
      <c r="B7" s="81">
        <v>55.428571428571431</v>
      </c>
    </row>
    <row r="8" spans="1:2">
      <c r="A8" s="80" t="s">
        <v>780</v>
      </c>
      <c r="B8" s="81">
        <v>61</v>
      </c>
    </row>
    <row r="9" spans="1:2">
      <c r="A9" s="80" t="s">
        <v>788</v>
      </c>
      <c r="B9" s="81">
        <v>88.333333333333329</v>
      </c>
    </row>
    <row r="10" spans="1:2">
      <c r="A10" s="80" t="s">
        <v>767</v>
      </c>
      <c r="B10" s="81">
        <v>43.571428571428569</v>
      </c>
    </row>
    <row r="11" spans="1:2">
      <c r="A11" s="80" t="s">
        <v>776</v>
      </c>
      <c r="B11" s="81">
        <v>107.85714285714286</v>
      </c>
    </row>
    <row r="12" spans="1:2">
      <c r="A12" s="80" t="s">
        <v>778</v>
      </c>
      <c r="B12" s="81">
        <v>76.714285714285708</v>
      </c>
    </row>
    <row r="13" spans="1:2">
      <c r="A13" s="80" t="s">
        <v>812</v>
      </c>
      <c r="B13" s="81">
        <v>67.491228070175438</v>
      </c>
    </row>
  </sheetData>
  <phoneticPr fontId="2" type="noConversion"/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35C3F-F935-4750-9A54-746FC57B73B3}">
  <sheetPr codeName="工作表15"/>
  <dimension ref="A1:C13"/>
  <sheetViews>
    <sheetView workbookViewId="0">
      <selection activeCell="C2" sqref="C2"/>
    </sheetView>
  </sheetViews>
  <sheetFormatPr defaultRowHeight="16.149999999999999"/>
  <cols>
    <col min="1" max="1" width="9.86328125" bestFit="1" customWidth="1"/>
    <col min="2" max="2" width="16.53125" bestFit="1" customWidth="1"/>
    <col min="3" max="3" width="11.86328125" bestFit="1" customWidth="1"/>
  </cols>
  <sheetData>
    <row r="1" spans="1:3">
      <c r="A1" t="s">
        <v>819</v>
      </c>
    </row>
    <row r="3" spans="1:3">
      <c r="A3" s="79" t="s">
        <v>811</v>
      </c>
      <c r="B3" t="s">
        <v>817</v>
      </c>
      <c r="C3" t="s">
        <v>816</v>
      </c>
    </row>
    <row r="4" spans="1:3">
      <c r="A4" s="80" t="s">
        <v>764</v>
      </c>
      <c r="B4" s="81">
        <v>280</v>
      </c>
      <c r="C4" s="81"/>
    </row>
    <row r="5" spans="1:3">
      <c r="A5" s="80" t="s">
        <v>759</v>
      </c>
      <c r="B5" s="81">
        <v>1660</v>
      </c>
      <c r="C5" s="81"/>
    </row>
    <row r="6" spans="1:3">
      <c r="A6" s="80" t="s">
        <v>782</v>
      </c>
      <c r="B6" s="81">
        <v>0</v>
      </c>
      <c r="C6" s="81">
        <v>1485</v>
      </c>
    </row>
    <row r="7" spans="1:3">
      <c r="A7" s="80" t="s">
        <v>762</v>
      </c>
      <c r="B7" s="81">
        <v>408</v>
      </c>
      <c r="C7" s="81"/>
    </row>
    <row r="8" spans="1:3">
      <c r="A8" s="80" t="s">
        <v>780</v>
      </c>
      <c r="B8" s="81">
        <v>445</v>
      </c>
      <c r="C8" s="81"/>
    </row>
    <row r="9" spans="1:3">
      <c r="A9" s="80" t="s">
        <v>788</v>
      </c>
      <c r="B9" s="81">
        <v>289</v>
      </c>
      <c r="C9" s="81"/>
    </row>
    <row r="10" spans="1:3">
      <c r="A10" s="80" t="s">
        <v>767</v>
      </c>
      <c r="B10" s="81">
        <v>525</v>
      </c>
      <c r="C10" s="81"/>
    </row>
    <row r="11" spans="1:3">
      <c r="A11" s="80" t="s">
        <v>776</v>
      </c>
      <c r="B11" s="81">
        <v>1510</v>
      </c>
      <c r="C11" s="81"/>
    </row>
    <row r="12" spans="1:3">
      <c r="A12" s="80" t="s">
        <v>778</v>
      </c>
      <c r="B12" s="81">
        <v>500</v>
      </c>
      <c r="C12" s="81"/>
    </row>
    <row r="13" spans="1:3">
      <c r="A13" s="80" t="s">
        <v>812</v>
      </c>
      <c r="B13" s="81">
        <v>5617</v>
      </c>
      <c r="C13" s="81">
        <v>1485</v>
      </c>
    </row>
  </sheetData>
  <phoneticPr fontId="2" type="noConversion"/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7967B-4329-4C25-98F2-FDE5776E8E85}">
  <sheetPr codeName="工作表16"/>
  <dimension ref="A1:B13"/>
  <sheetViews>
    <sheetView workbookViewId="0"/>
  </sheetViews>
  <sheetFormatPr defaultRowHeight="16.149999999999999"/>
  <cols>
    <col min="1" max="1" width="9.86328125" bestFit="1" customWidth="1"/>
    <col min="2" max="2" width="11.86328125" bestFit="1" customWidth="1"/>
  </cols>
  <sheetData>
    <row r="1" spans="1:2">
      <c r="A1" t="s">
        <v>814</v>
      </c>
    </row>
    <row r="3" spans="1:2">
      <c r="A3" s="79" t="s">
        <v>811</v>
      </c>
      <c r="B3" t="s">
        <v>813</v>
      </c>
    </row>
    <row r="4" spans="1:2">
      <c r="A4" s="80" t="s">
        <v>764</v>
      </c>
      <c r="B4" s="81">
        <v>5</v>
      </c>
    </row>
    <row r="5" spans="1:2">
      <c r="A5" s="80" t="s">
        <v>759</v>
      </c>
      <c r="B5" s="81">
        <v>8</v>
      </c>
    </row>
    <row r="6" spans="1:2">
      <c r="A6" s="80" t="s">
        <v>782</v>
      </c>
      <c r="B6" s="81">
        <v>7</v>
      </c>
    </row>
    <row r="7" spans="1:2">
      <c r="A7" s="80" t="s">
        <v>762</v>
      </c>
      <c r="B7" s="81">
        <v>7</v>
      </c>
    </row>
    <row r="8" spans="1:2">
      <c r="A8" s="80" t="s">
        <v>780</v>
      </c>
      <c r="B8" s="81">
        <v>6</v>
      </c>
    </row>
    <row r="9" spans="1:2">
      <c r="A9" s="80" t="s">
        <v>788</v>
      </c>
      <c r="B9" s="81">
        <v>3</v>
      </c>
    </row>
    <row r="10" spans="1:2">
      <c r="A10" s="80" t="s">
        <v>767</v>
      </c>
      <c r="B10" s="81">
        <v>7</v>
      </c>
    </row>
    <row r="11" spans="1:2">
      <c r="A11" s="80" t="s">
        <v>776</v>
      </c>
      <c r="B11" s="81">
        <v>7</v>
      </c>
    </row>
    <row r="12" spans="1:2">
      <c r="A12" s="80" t="s">
        <v>778</v>
      </c>
      <c r="B12" s="81">
        <v>7</v>
      </c>
    </row>
    <row r="13" spans="1:2">
      <c r="A13" s="80" t="s">
        <v>812</v>
      </c>
      <c r="B13" s="81">
        <v>57</v>
      </c>
    </row>
  </sheetData>
  <phoneticPr fontId="2" type="noConversion"/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C321B-6724-4341-B72C-F2AD605FD130}">
  <sheetPr codeName="工作表17"/>
  <dimension ref="A1:C13"/>
  <sheetViews>
    <sheetView topLeftCell="B1" workbookViewId="0"/>
  </sheetViews>
  <sheetFormatPr defaultRowHeight="16.149999999999999"/>
  <cols>
    <col min="1" max="1" width="9.86328125" bestFit="1" customWidth="1"/>
    <col min="2" max="2" width="16.1328125" bestFit="1" customWidth="1"/>
    <col min="3" max="3" width="11.86328125" bestFit="1" customWidth="1"/>
  </cols>
  <sheetData>
    <row r="1" spans="1:3">
      <c r="A1" t="s">
        <v>827</v>
      </c>
    </row>
    <row r="3" spans="1:3">
      <c r="A3" s="79" t="s">
        <v>811</v>
      </c>
      <c r="B3" t="s">
        <v>815</v>
      </c>
      <c r="C3" t="s">
        <v>818</v>
      </c>
    </row>
    <row r="4" spans="1:3">
      <c r="A4" s="80" t="s">
        <v>764</v>
      </c>
      <c r="B4" s="81">
        <v>2111.8000000000002</v>
      </c>
      <c r="C4" s="81"/>
    </row>
    <row r="5" spans="1:3">
      <c r="A5" s="80" t="s">
        <v>759</v>
      </c>
      <c r="B5" s="81">
        <v>4400</v>
      </c>
      <c r="C5" s="81"/>
    </row>
    <row r="6" spans="1:3">
      <c r="A6" s="80" t="s">
        <v>782</v>
      </c>
      <c r="B6" s="81">
        <v>0</v>
      </c>
      <c r="C6" s="81">
        <v>4350</v>
      </c>
    </row>
    <row r="7" spans="1:3">
      <c r="A7" s="80" t="s">
        <v>762</v>
      </c>
      <c r="B7" s="81">
        <v>1899</v>
      </c>
      <c r="C7" s="81"/>
    </row>
    <row r="8" spans="1:3">
      <c r="A8" s="80" t="s">
        <v>780</v>
      </c>
      <c r="B8" s="81">
        <v>2514</v>
      </c>
      <c r="C8" s="81"/>
    </row>
    <row r="9" spans="1:3">
      <c r="A9" s="80" t="s">
        <v>788</v>
      </c>
      <c r="B9" s="81">
        <v>1783.56</v>
      </c>
      <c r="C9" s="81"/>
    </row>
    <row r="10" spans="1:3">
      <c r="A10" s="80" t="s">
        <v>767</v>
      </c>
      <c r="B10" s="81">
        <v>2009</v>
      </c>
      <c r="C10" s="81"/>
    </row>
    <row r="11" spans="1:3">
      <c r="A11" s="80" t="s">
        <v>776</v>
      </c>
      <c r="B11" s="81">
        <v>7249.9999999999991</v>
      </c>
      <c r="C11" s="81"/>
    </row>
    <row r="12" spans="1:3">
      <c r="A12" s="80" t="s">
        <v>778</v>
      </c>
      <c r="B12" s="81">
        <v>3248.2</v>
      </c>
      <c r="C12" s="81"/>
    </row>
    <row r="13" spans="1:3">
      <c r="A13" s="80" t="s">
        <v>812</v>
      </c>
      <c r="B13" s="81">
        <v>25215.559999999998</v>
      </c>
      <c r="C13" s="81">
        <v>4350</v>
      </c>
    </row>
  </sheetData>
  <phoneticPr fontId="2" type="noConversion"/>
  <pageMargins left="0.7" right="0.7" top="0.75" bottom="0.75" header="0.3" footer="0.3"/>
  <pageSetup paperSize="9" orientation="portrait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具名範圍</vt:lpstr>
      </vt:variant>
      <vt:variant>
        <vt:i4>33</vt:i4>
      </vt:variant>
    </vt:vector>
  </HeadingPairs>
  <TitlesOfParts>
    <vt:vector size="50" baseType="lpstr">
      <vt:lpstr>麥當勞</vt:lpstr>
      <vt:lpstr>小公寓</vt:lpstr>
      <vt:lpstr>福勝亭</vt:lpstr>
      <vt:lpstr>麥味登</vt:lpstr>
      <vt:lpstr>路易莎</vt:lpstr>
      <vt:lpstr>星巴克</vt:lpstr>
      <vt:lpstr>摩斯漢堡</vt:lpstr>
      <vt:lpstr>Qburger</vt:lpstr>
      <vt:lpstr>商家列表</vt:lpstr>
      <vt:lpstr>幸福感計算器(單日)</vt:lpstr>
      <vt:lpstr>幸福感計算器 (月) </vt:lpstr>
      <vt:lpstr>各項分析</vt:lpstr>
      <vt:lpstr>各店家平均獲得的美味度與飽足感</vt:lpstr>
      <vt:lpstr>各店家帶來的幸福感</vt:lpstr>
      <vt:lpstr>在各店家花的錢</vt:lpstr>
      <vt:lpstr>光顧店家次數</vt:lpstr>
      <vt:lpstr>在各店家獲得的熱量</vt:lpstr>
      <vt:lpstr>Q_burger</vt:lpstr>
      <vt:lpstr>Qburger</vt:lpstr>
      <vt:lpstr>Qburger午餐</vt:lpstr>
      <vt:lpstr>Qburger早餐</vt:lpstr>
      <vt:lpstr>小公寓</vt:lpstr>
      <vt:lpstr>小公寓午餐</vt:lpstr>
      <vt:lpstr>小公寓晚餐</vt:lpstr>
      <vt:lpstr>小公寓點心</vt:lpstr>
      <vt:lpstr>自訂</vt:lpstr>
      <vt:lpstr>其他</vt:lpstr>
      <vt:lpstr>其它</vt:lpstr>
      <vt:lpstr>星巴克</vt:lpstr>
      <vt:lpstr>星巴克點心</vt:lpstr>
      <vt:lpstr>商家列表</vt:lpstr>
      <vt:lpstr>麥味登</vt:lpstr>
      <vt:lpstr>麥味登午餐</vt:lpstr>
      <vt:lpstr>麥味登早餐</vt:lpstr>
      <vt:lpstr>麥當勞</vt:lpstr>
      <vt:lpstr>麥當勞午餐</vt:lpstr>
      <vt:lpstr>麥當勞早餐</vt:lpstr>
      <vt:lpstr>麥當勞晚餐</vt:lpstr>
      <vt:lpstr>麥當勞點心</vt:lpstr>
      <vt:lpstr>路易莎</vt:lpstr>
      <vt:lpstr>路易莎早餐</vt:lpstr>
      <vt:lpstr>路易莎點心</vt:lpstr>
      <vt:lpstr>福勝亭</vt:lpstr>
      <vt:lpstr>福勝亭午餐</vt:lpstr>
      <vt:lpstr>福勝亭晚餐</vt:lpstr>
      <vt:lpstr>摩斯漢堡</vt:lpstr>
      <vt:lpstr>摩斯漢堡午餐</vt:lpstr>
      <vt:lpstr>摩斯漢堡早餐</vt:lpstr>
      <vt:lpstr>摩斯漢堡晚餐</vt:lpstr>
      <vt:lpstr>摩斯漢堡點心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琬蓁 鄭</cp:lastModifiedBy>
  <dcterms:created xsi:type="dcterms:W3CDTF">2024-11-02T04:36:22Z</dcterms:created>
  <dcterms:modified xsi:type="dcterms:W3CDTF">2024-11-20T02:45:20Z</dcterms:modified>
</cp:coreProperties>
</file>